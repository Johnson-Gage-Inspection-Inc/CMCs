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hyth\Desktop\sandbox\JGI\CMCs\"/>
    </mc:Choice>
  </mc:AlternateContent>
  <xr:revisionPtr revIDLastSave="0" documentId="8_{9669D085-882E-47C3-BFFD-CD78FA92CE29}" xr6:coauthVersionLast="47" xr6:coauthVersionMax="47" xr10:uidLastSave="{00000000-0000-0000-0000-000000000000}"/>
  <bookViews>
    <workbookView xWindow="28680" yWindow="855" windowWidth="29040" windowHeight="15840" xr2:uid="{EF255EEF-451C-46FC-86C8-C8D307EB763F}"/>
  </bookViews>
  <sheets>
    <sheet name="cmc_parsed" sheetId="2" r:id="rId1"/>
    <sheet name="Sheet2" sheetId="3" r:id="rId2"/>
    <sheet name="Sheet1" sheetId="1" r:id="rId3"/>
  </sheets>
  <functionGroups builtInGroupCount="19"/>
  <definedNames>
    <definedName name="ExternalData_1" localSheetId="0" hidden="1">'cmc_parsed'!$A$1:$R$563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2" i="2" l="1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S502" i="2"/>
  <c r="S503" i="2"/>
  <c r="S504" i="2"/>
  <c r="S505" i="2"/>
  <c r="S506" i="2"/>
  <c r="S507" i="2"/>
  <c r="S508" i="2"/>
  <c r="S509" i="2"/>
  <c r="S510" i="2"/>
  <c r="S511" i="2"/>
  <c r="S512" i="2"/>
  <c r="S513" i="2"/>
  <c r="S514" i="2"/>
  <c r="S515" i="2"/>
  <c r="S516" i="2"/>
  <c r="S517" i="2"/>
  <c r="S518" i="2"/>
  <c r="S519" i="2"/>
  <c r="S520" i="2"/>
  <c r="S521" i="2"/>
  <c r="S522" i="2"/>
  <c r="S523" i="2"/>
  <c r="S524" i="2"/>
  <c r="S525" i="2"/>
  <c r="S526" i="2"/>
  <c r="S527" i="2"/>
  <c r="S528" i="2"/>
  <c r="S529" i="2"/>
  <c r="S530" i="2"/>
  <c r="S531" i="2"/>
  <c r="S532" i="2"/>
  <c r="S533" i="2"/>
  <c r="S534" i="2"/>
  <c r="S535" i="2"/>
  <c r="S536" i="2"/>
  <c r="S537" i="2"/>
  <c r="S538" i="2"/>
  <c r="S539" i="2"/>
  <c r="S540" i="2"/>
  <c r="S541" i="2"/>
  <c r="S542" i="2"/>
  <c r="S543" i="2"/>
  <c r="S544" i="2"/>
  <c r="S545" i="2"/>
  <c r="S546" i="2"/>
  <c r="S547" i="2"/>
  <c r="S548" i="2"/>
  <c r="S549" i="2"/>
  <c r="S550" i="2"/>
  <c r="S551" i="2"/>
  <c r="S552" i="2"/>
  <c r="S553" i="2"/>
  <c r="S554" i="2"/>
  <c r="S555" i="2"/>
  <c r="S556" i="2"/>
  <c r="S557" i="2"/>
  <c r="S558" i="2"/>
  <c r="S559" i="2"/>
  <c r="S560" i="2"/>
  <c r="S561" i="2"/>
  <c r="S562" i="2"/>
  <c r="S563" i="2"/>
  <c r="U1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8FFF1E9-D2B1-49BF-848A-B704183620A2}" keepAlive="1" name="Query - cmc_parsed" description="Connection to the 'cmc_parsed' query in the workbook." type="5" refreshedVersion="8" background="1" saveData="1">
    <dbPr connection="Provider=Microsoft.Mashup.OleDb.1;Data Source=$Workbook$;Location=cmc_parsed;Extended Properties=&quot;&quot;" command="SELECT * FROM [cmc_parsed]"/>
  </connection>
</connections>
</file>

<file path=xl/sharedStrings.xml><?xml version="1.0" encoding="utf-8"?>
<sst xmlns="http://schemas.openxmlformats.org/spreadsheetml/2006/main" count="8449" uniqueCount="1383">
  <si>
    <t>Equipment</t>
  </si>
  <si>
    <t>Parameter</t>
  </si>
  <si>
    <t>Range</t>
  </si>
  <si>
    <t>Frequency</t>
  </si>
  <si>
    <t>CMC (±)</t>
  </si>
  <si>
    <t>Comments</t>
  </si>
  <si>
    <t>range_min</t>
  </si>
  <si>
    <t>range_min_unit</t>
  </si>
  <si>
    <t>range_max</t>
  </si>
  <si>
    <t>range_max_unit</t>
  </si>
  <si>
    <t>frequency_range_min</t>
  </si>
  <si>
    <t>frequency_range_min_unit</t>
  </si>
  <si>
    <t>frequency_range_max</t>
  </si>
  <si>
    <t>frequency_range_max_unit</t>
  </si>
  <si>
    <t>cmc_base</t>
  </si>
  <si>
    <t>cmc_multiplier</t>
  </si>
  <si>
    <t>cmc_mult_unit</t>
  </si>
  <si>
    <t>cmc_uncertainty_unit</t>
  </si>
  <si>
    <t>Bore Gages &amp; ID Measuring Tools</t>
  </si>
  <si>
    <t>3-Point</t>
  </si>
  <si>
    <t>Up to 4 in</t>
  </si>
  <si>
    <t/>
  </si>
  <si>
    <t>(36 + 2.3D) µin</t>
  </si>
  <si>
    <t>Ring gages</t>
  </si>
  <si>
    <t>4</t>
  </si>
  <si>
    <t>in</t>
  </si>
  <si>
    <t>36.0</t>
  </si>
  <si>
    <t>D</t>
  </si>
  <si>
    <t>µin</t>
  </si>
  <si>
    <t>2-Point</t>
  </si>
  <si>
    <t>Up to 12 in</t>
  </si>
  <si>
    <t>(35 + 2.3D) µin</t>
  </si>
  <si>
    <t>Gage blocks</t>
  </si>
  <si>
    <t>12</t>
  </si>
  <si>
    <t>35.0</t>
  </si>
  <si>
    <t>Countersink &amp; Chamfer Gages</t>
  </si>
  <si>
    <t>Up to 3.5 in</t>
  </si>
  <si>
    <t>(230 + 10D) µin</t>
  </si>
  <si>
    <t>Modified ring gages</t>
  </si>
  <si>
    <t>3.5</t>
  </si>
  <si>
    <t>230.0</t>
  </si>
  <si>
    <t>Coordinate Measuring Machines (CMM)</t>
  </si>
  <si>
    <t>Length Measurement Error (Eₗ)</t>
  </si>
  <si>
    <t>Up to 27 in</t>
  </si>
  <si>
    <t>(14 + 5.1L) µin</t>
  </si>
  <si>
    <t>ASME B89.4.10360.2 Section 6.3.3; Step gage</t>
  </si>
  <si>
    <t>27</t>
  </si>
  <si>
    <t>14.0</t>
  </si>
  <si>
    <t>L</t>
  </si>
  <si>
    <t>Up to 127 in</t>
  </si>
  <si>
    <t>(7.8 + 3.8L) µin</t>
  </si>
  <si>
    <t>ASME B89.4.10360.2 Section 6.3.3; Gage blocks</t>
  </si>
  <si>
    <t>127</t>
  </si>
  <si>
    <t>7.8</t>
  </si>
  <si>
    <t>Up to 240 in</t>
  </si>
  <si>
    <t>(6.1 + 1.2L) µin</t>
  </si>
  <si>
    <t>ASME B89.4.10360.2 Section 6.3.3; Laser system</t>
  </si>
  <si>
    <t>240</t>
  </si>
  <si>
    <t>6.1</t>
  </si>
  <si>
    <t>Repeatability (R₀)</t>
  </si>
  <si>
    <t>(10 to 50) mm</t>
  </si>
  <si>
    <t>27 µin</t>
  </si>
  <si>
    <t>ASME B89.4.10360.2 Section 6.1.1; sphere</t>
  </si>
  <si>
    <t>10</t>
  </si>
  <si>
    <t>mm</t>
  </si>
  <si>
    <t>50</t>
  </si>
  <si>
    <t>Spherical CMM (Laser Tracker)</t>
  </si>
  <si>
    <t>Up to 600 in</t>
  </si>
  <si>
    <t>600 µin</t>
  </si>
  <si>
    <t>Reference length bar</t>
  </si>
  <si>
    <t>600</t>
  </si>
  <si>
    <t>Laser Interferometer Length Dependent Error</t>
  </si>
  <si>
    <t>Up to 40 in</t>
  </si>
  <si>
    <t>0.43 parts in 10</t>
  </si>
  <si>
    <t>ASME B89.1.8 Sec 4 XD1 reference laser</t>
  </si>
  <si>
    <t>40</t>
  </si>
  <si>
    <t>0.43</t>
  </si>
  <si>
    <t>parts in 10</t>
  </si>
  <si>
    <t>Articulated Arm CMM</t>
  </si>
  <si>
    <t>Effective Dia Perf Test</t>
  </si>
  <si>
    <t>---</t>
  </si>
  <si>
    <t>55 µin</t>
  </si>
  <si>
    <t>Sphere</t>
  </si>
  <si>
    <t>55</t>
  </si>
  <si>
    <t>Single Point Articulation Test</t>
  </si>
  <si>
    <t>90 µin</t>
  </si>
  <si>
    <t>Trihedral socket</t>
  </si>
  <si>
    <t>90</t>
  </si>
  <si>
    <t>Volumetric Perf Test</t>
  </si>
  <si>
    <t>Up to 144 in radius</t>
  </si>
  <si>
    <t>(170 + 0.2L) µin</t>
  </si>
  <si>
    <t>Gage block ref. length</t>
  </si>
  <si>
    <t>144</t>
  </si>
  <si>
    <t>in radius</t>
  </si>
  <si>
    <t>170.0</t>
  </si>
  <si>
    <t>CNC, Machine Tools</t>
  </si>
  <si>
    <t>Repeatability @ 2</t>
  </si>
  <si>
    <t>18 µin</t>
  </si>
  <si>
    <t>Laser per ASME B5.54 Sec. 7.3</t>
  </si>
  <si>
    <t>18</t>
  </si>
  <si>
    <t>Linear Displacement Accuracy</t>
  </si>
  <si>
    <t>Up to 260 ft</t>
  </si>
  <si>
    <t>(83 + 1.7L) µin</t>
  </si>
  <si>
    <t>260</t>
  </si>
  <si>
    <t>ft</t>
  </si>
  <si>
    <t>83.0</t>
  </si>
  <si>
    <t>Bi-Directional System Deviation</t>
  </si>
  <si>
    <t>85 µin</t>
  </si>
  <si>
    <t>Laser per ASME B5.54 Sec. 7.7</t>
  </si>
  <si>
    <t>85</t>
  </si>
  <si>
    <t>Reversal Deviation</t>
  </si>
  <si>
    <t>Bi-Directional Repeatability</t>
  </si>
  <si>
    <t>80 µin</t>
  </si>
  <si>
    <t>80</t>
  </si>
  <si>
    <t>Gage Blocks</t>
  </si>
  <si>
    <t>Up to 0.1 in</t>
  </si>
  <si>
    <t>4 µin</t>
  </si>
  <si>
    <t>Master gage blocks &amp; amplifier</t>
  </si>
  <si>
    <t>0.1</t>
  </si>
  <si>
    <t>(0.1 to 4) in</t>
  </si>
  <si>
    <t>(2 + 1.4L) µin</t>
  </si>
  <si>
    <t>2.0</t>
  </si>
  <si>
    <t>(4 to 20) in</t>
  </si>
  <si>
    <t>(4.3 + 1.4L) µin</t>
  </si>
  <si>
    <t>20</t>
  </si>
  <si>
    <t>4.3</t>
  </si>
  <si>
    <t>Micrometers</t>
  </si>
  <si>
    <t>Linearity</t>
  </si>
  <si>
    <t>Up to 42 in</t>
  </si>
  <si>
    <t>(38 + 2.7L) µin</t>
  </si>
  <si>
    <t>42</t>
  </si>
  <si>
    <t>38.0</t>
  </si>
  <si>
    <t>Parallelism</t>
  </si>
  <si>
    <t>(31 + 0.25L) µin</t>
  </si>
  <si>
    <t>31.0</t>
  </si>
  <si>
    <t>Micrometer Standards &amp; Length Artifacts</t>
  </si>
  <si>
    <t>Up to 41 in</t>
  </si>
  <si>
    <t>(12 + 2.4L) µin</t>
  </si>
  <si>
    <t>Universal LMS</t>
  </si>
  <si>
    <t>41</t>
  </si>
  <si>
    <t>12.0</t>
  </si>
  <si>
    <t>Depth Micrometers &amp; Gages</t>
  </si>
  <si>
    <t>(30 + 2.5L) µin</t>
  </si>
  <si>
    <t>30.0</t>
  </si>
  <si>
    <t>Thread Micrometers</t>
  </si>
  <si>
    <t>Up to 6 in</t>
  </si>
  <si>
    <t>(92 + 7.4L) µin</t>
  </si>
  <si>
    <t>Thread plugs</t>
  </si>
  <si>
    <t>6</t>
  </si>
  <si>
    <t>92.0</t>
  </si>
  <si>
    <t>Thread Wires</t>
  </si>
  <si>
    <t>(4.5 to 96) TPI</t>
  </si>
  <si>
    <t>15 µin</t>
  </si>
  <si>
    <t>Supermicrometer,</t>
  </si>
  <si>
    <t>4.5</t>
  </si>
  <si>
    <t>TPI</t>
  </si>
  <si>
    <t>96</t>
  </si>
  <si>
    <t>15</t>
  </si>
  <si>
    <t>Calipers</t>
  </si>
  <si>
    <t>Digital</t>
  </si>
  <si>
    <t>Up to 72 in</t>
  </si>
  <si>
    <t>(300 + 1.7L) µin</t>
  </si>
  <si>
    <t>Gage blocks and ring gages</t>
  </si>
  <si>
    <t>72</t>
  </si>
  <si>
    <t>300.0</t>
  </si>
  <si>
    <t>Dial &amp; Vernier</t>
  </si>
  <si>
    <t>(600 + 1.9L) µin</t>
  </si>
  <si>
    <t>600.0</t>
  </si>
  <si>
    <t>Indicators, Dial &amp; Digital (For Dial, Res. = 0.2 Least Grad.)</t>
  </si>
  <si>
    <t>Up to 1 in</t>
  </si>
  <si>
    <t>6.5 µin + 0.6R</t>
  </si>
  <si>
    <t>1</t>
  </si>
  <si>
    <t>6.5</t>
  </si>
  <si>
    <t>R</t>
  </si>
  <si>
    <t>(1 to 4) in</t>
  </si>
  <si>
    <t>(3.3 + 3L) µin + 0.6R</t>
  </si>
  <si>
    <t>3.3</t>
  </si>
  <si>
    <t>µin + 0.6R</t>
  </si>
  <si>
    <t>Height Gages</t>
  </si>
  <si>
    <t>(7.1 + 1.1L) µin</t>
  </si>
  <si>
    <t>7.1</t>
  </si>
  <si>
    <t>Plug / Pin Gages &amp; Outside Cylindrical Diameter</t>
  </si>
  <si>
    <t>(6.7 + 1.8L) µin</t>
  </si>
  <si>
    <t>Laser scan micrometer</t>
  </si>
  <si>
    <t>6.7</t>
  </si>
  <si>
    <t>(1 to 10) in</t>
  </si>
  <si>
    <t>(13 + 1.1L) µin</t>
  </si>
  <si>
    <t>P&amp;W Supermicrometer, gage blocks</t>
  </si>
  <si>
    <t>13.0</t>
  </si>
  <si>
    <t>Plain Rings &amp; Inside Cylindrical Diameter</t>
  </si>
  <si>
    <t>(0.04 to 11) in</t>
  </si>
  <si>
    <t>(4.6 + 0.91D) µin</t>
  </si>
  <si>
    <t>Internal Supermicrometer, master gage blocks</t>
  </si>
  <si>
    <t>0.04</t>
  </si>
  <si>
    <t>11</t>
  </si>
  <si>
    <t>4.6</t>
  </si>
  <si>
    <t>Straight Threaded Plug Gages</t>
  </si>
  <si>
    <t>Pitch Diameter (TPI 4.5 to 96)</t>
  </si>
  <si>
    <t>(76 + 6.0D) µin</t>
  </si>
  <si>
    <t>3-wire method</t>
  </si>
  <si>
    <t>76.0</t>
  </si>
  <si>
    <t>Major Diameter</t>
  </si>
  <si>
    <t>Up to 5 in</t>
  </si>
  <si>
    <t>(24 + 1D) µin</t>
  </si>
  <si>
    <t>5</t>
  </si>
  <si>
    <t>24.0</t>
  </si>
  <si>
    <t>Tapered Threaded Plug Gages</t>
  </si>
  <si>
    <t>Pitch Diameter</t>
  </si>
  <si>
    <t>92 µin</t>
  </si>
  <si>
    <t>3-wire method, tapered sine block</t>
  </si>
  <si>
    <t>92</t>
  </si>
  <si>
    <t>Up to 4.5 in</t>
  </si>
  <si>
    <t>22 µin</t>
  </si>
  <si>
    <t>22</t>
  </si>
  <si>
    <t>Adjustable Threaded Ring Gages</t>
  </si>
  <si>
    <t>(0.05 to 2) in diameter</t>
  </si>
  <si>
    <t>(84 + 10D) µin</t>
  </si>
  <si>
    <t>Setting plugs</t>
  </si>
  <si>
    <t>0.05</t>
  </si>
  <si>
    <t>in diameter</t>
  </si>
  <si>
    <t>2</t>
  </si>
  <si>
    <t>84.0</t>
  </si>
  <si>
    <t>Steel Rules</t>
  </si>
  <si>
    <t>Length</t>
  </si>
  <si>
    <t>(590 + 1.5L) µin</t>
  </si>
  <si>
    <t>590.0</t>
  </si>
  <si>
    <t>Graduations</t>
  </si>
  <si>
    <t>----</t>
  </si>
  <si>
    <t>(670 + 16L) µin</t>
  </si>
  <si>
    <t>Glass scale</t>
  </si>
  <si>
    <t>670.0</t>
  </si>
  <si>
    <t>Surface Plates</t>
  </si>
  <si>
    <t>Flatness</t>
  </si>
  <si>
    <t>Up to 300 in diagonal</t>
  </si>
  <si>
    <t>(8.7 + 1.2L) µin</t>
  </si>
  <si>
    <t>LDDM</t>
  </si>
  <si>
    <t>300</t>
  </si>
  <si>
    <t>in diagonal</t>
  </si>
  <si>
    <t>8.7</t>
  </si>
  <si>
    <t>Repeat Reading</t>
  </si>
  <si>
    <t>(6.8 + 0.017L) µin</t>
  </si>
  <si>
    <t>Repeat reading gage</t>
  </si>
  <si>
    <t>6.8</t>
  </si>
  <si>
    <t>Optical Comparators</t>
  </si>
  <si>
    <t>12 in travel</t>
  </si>
  <si>
    <t>(12 + 3.4L) µin</t>
  </si>
  <si>
    <t>in travel</t>
  </si>
  <si>
    <t>Angle</t>
  </si>
  <si>
    <t>±180º</t>
  </si>
  <si>
    <t>40 arc seconds</t>
  </si>
  <si>
    <t>-180</t>
  </si>
  <si>
    <t>º</t>
  </si>
  <si>
    <t>180</t>
  </si>
  <si>
    <t>arc seconds</t>
  </si>
  <si>
    <t>Magnification Accuracy</t>
  </si>
  <si>
    <t>5X to 100X</t>
  </si>
  <si>
    <t>0.013 % of magnification</t>
  </si>
  <si>
    <t>X</t>
  </si>
  <si>
    <t>100</t>
  </si>
  <si>
    <t>0.013</t>
  </si>
  <si>
    <t>% of magnification</t>
  </si>
  <si>
    <t>Measuring Tapes</t>
  </si>
  <si>
    <t>Up to 330 ft</t>
  </si>
  <si>
    <t>(0.0073 +</t>
  </si>
  <si>
    <t>Test frame</t>
  </si>
  <si>
    <t>330</t>
  </si>
  <si>
    <t>0.000 0069L) in</t>
  </si>
  <si>
    <t>0.0</t>
  </si>
  <si>
    <t>0069L) in</t>
  </si>
  <si>
    <t>0.0018 in</t>
  </si>
  <si>
    <t>0.0018</t>
  </si>
  <si>
    <t>Wire Crimpers</t>
  </si>
  <si>
    <t>Cylindrical Crimping Chamber</t>
  </si>
  <si>
    <t>(0.011 to 0.500) in</t>
  </si>
  <si>
    <t>650 µin</t>
  </si>
  <si>
    <t>Pin gages</t>
  </si>
  <si>
    <t>0.011</t>
  </si>
  <si>
    <t>0.500</t>
  </si>
  <si>
    <t>650</t>
  </si>
  <si>
    <t>Shaped Crimping Chamber</t>
  </si>
  <si>
    <t>280 µin</t>
  </si>
  <si>
    <t>Optical comparator</t>
  </si>
  <si>
    <t>280</t>
  </si>
  <si>
    <t>Crimp Height</t>
  </si>
  <si>
    <t>190 µin</t>
  </si>
  <si>
    <t>Crimp height micrometer</t>
  </si>
  <si>
    <t>190</t>
  </si>
  <si>
    <t>Air Gages</t>
  </si>
  <si>
    <t>(-0.0015 to +0.0015) in</t>
  </si>
  <si>
    <t>25 µin</t>
  </si>
  <si>
    <t>Magnification test kit</t>
  </si>
  <si>
    <t>-0.0015</t>
  </si>
  <si>
    <t>0.0015</t>
  </si>
  <si>
    <t>25</t>
  </si>
  <si>
    <t>Profilometers, Ra</t>
  </si>
  <si>
    <t>20 µin</t>
  </si>
  <si>
    <t>1.5 µin</t>
  </si>
  <si>
    <t>Surface roughness masters</t>
  </si>
  <si>
    <t>1.5</t>
  </si>
  <si>
    <t>120 µin</t>
  </si>
  <si>
    <t>3.1 µin</t>
  </si>
  <si>
    <t>120</t>
  </si>
  <si>
    <t>3.1</t>
  </si>
  <si>
    <t>Surface Roughness Standards, Ra</t>
  </si>
  <si>
    <t>(16 to 132) µin</t>
  </si>
  <si>
    <t>(1.3 + 0.017) µin</t>
  </si>
  <si>
    <t>Comparison with surface roughness masters</t>
  </si>
  <si>
    <t>16</t>
  </si>
  <si>
    <t>132</t>
  </si>
  <si>
    <t>1.3</t>
  </si>
  <si>
    <t>Radius Standard</t>
  </si>
  <si>
    <t>(0.01 to 3) in</t>
  </si>
  <si>
    <t>(190 + 62L) µin</t>
  </si>
  <si>
    <t>0.01</t>
  </si>
  <si>
    <t>3</t>
  </si>
  <si>
    <t>190.0</t>
  </si>
  <si>
    <t>Bench Micrometer</t>
  </si>
  <si>
    <t>(2.1 + 1.3L) µin</t>
  </si>
  <si>
    <t>2.1</t>
  </si>
  <si>
    <t>Anvil Parallelism</t>
  </si>
  <si>
    <t>1.4 µin</t>
  </si>
  <si>
    <t>Ball test</t>
  </si>
  <si>
    <t>1.4</t>
  </si>
  <si>
    <t>Force Error</t>
  </si>
  <si>
    <t>(2 to 40) ozf</t>
  </si>
  <si>
    <t>0.13 ozf</t>
  </si>
  <si>
    <t>Load cell</t>
  </si>
  <si>
    <t>ozf</t>
  </si>
  <si>
    <t>0.13</t>
  </si>
  <si>
    <t>ID Functionality</t>
  </si>
  <si>
    <t>11 µin</t>
  </si>
  <si>
    <t>Setting rings</t>
  </si>
  <si>
    <t>Coating Thickness Meter</t>
  </si>
  <si>
    <t>Up to 80 mils</t>
  </si>
  <si>
    <t>0.11 % rdg + 0.023 mils</t>
  </si>
  <si>
    <t>Coating thickness standards</t>
  </si>
  <si>
    <t>mils</t>
  </si>
  <si>
    <t>0.11</t>
  </si>
  <si>
    <t>% rdg</t>
  </si>
  <si>
    <t>Coating Thickness</t>
  </si>
  <si>
    <t>Up to 750 mils</t>
  </si>
  <si>
    <t>0.023 mils</t>
  </si>
  <si>
    <t>750</t>
  </si>
  <si>
    <t>0.023</t>
  </si>
  <si>
    <t>Ultrasonic Thickness</t>
  </si>
  <si>
    <t>Up to 10 in (Ferrous)</t>
  </si>
  <si>
    <t>Steel gage blocks</t>
  </si>
  <si>
    <t>in (Ferrous)</t>
  </si>
  <si>
    <t>Meter</t>
  </si>
  <si>
    <t>Up to 0.65 in (Alum)</t>
  </si>
  <si>
    <t>100 µin</t>
  </si>
  <si>
    <t>Aluminum thickness Standards</t>
  </si>
  <si>
    <t>0.65</t>
  </si>
  <si>
    <t>in (Alum)</t>
  </si>
  <si>
    <t>Length, 1D</t>
  </si>
  <si>
    <t>Up to 10 in</t>
  </si>
  <si>
    <t>(27 + 1.2L) µin</t>
  </si>
  <si>
    <t>Supermicrometer</t>
  </si>
  <si>
    <t>27.0</t>
  </si>
  <si>
    <t>Up to 56 in</t>
  </si>
  <si>
    <t>(590 + 2.1L) µin</t>
  </si>
  <si>
    <t>CMM</t>
  </si>
  <si>
    <t>56</t>
  </si>
  <si>
    <t>Up to 8.5 in</t>
  </si>
  <si>
    <t>(410 + 96L) µin</t>
  </si>
  <si>
    <t>8.5</t>
  </si>
  <si>
    <t>410.0</t>
  </si>
  <si>
    <t>Up to 60 ft</t>
  </si>
  <si>
    <t>(83 + 1.6L) µin</t>
  </si>
  <si>
    <t>Laser</t>
  </si>
  <si>
    <t>60</t>
  </si>
  <si>
    <t>Length, 2D</t>
  </si>
  <si>
    <t>Up to 8′′ X 3′′</t>
  </si>
  <si>
    <t>(370 + 120L) µin</t>
  </si>
  <si>
    <t>8</t>
  </si>
  <si>
    <t>′′ X 3′′</t>
  </si>
  <si>
    <t>370.0</t>
  </si>
  <si>
    <t>Length, 3D</t>
  </si>
  <si>
    <t>Up to 47′′ X 32′′ X 24′′</t>
  </si>
  <si>
    <t>700 µin</t>
  </si>
  <si>
    <t>47</t>
  </si>
  <si>
    <t>′′ X 32′′ X 24′′</t>
  </si>
  <si>
    <t>700</t>
  </si>
  <si>
    <t>DC Voltage</t>
  </si>
  <si>
    <t>Measure</t>
  </si>
  <si>
    <t>Up to 100 mV</t>
  </si>
  <si>
    <t>4.4 µV/V + 0.62 µV</t>
  </si>
  <si>
    <t>HP 3458A</t>
  </si>
  <si>
    <t>mV</t>
  </si>
  <si>
    <t>4.4</t>
  </si>
  <si>
    <t>µV/V</t>
  </si>
  <si>
    <t>µV</t>
  </si>
  <si>
    <t>(0.1 to 1) V</t>
  </si>
  <si>
    <t>4.7 µV/V + 0.5 µV</t>
  </si>
  <si>
    <t>V</t>
  </si>
  <si>
    <t>4.7</t>
  </si>
  <si>
    <t>(1 to 10) V</t>
  </si>
  <si>
    <t>4.6 µV/V + 1.1 µV</t>
  </si>
  <si>
    <t>(10 to 100) V</t>
  </si>
  <si>
    <t>6.9 µV/V + 39 µV</t>
  </si>
  <si>
    <t>6.9</t>
  </si>
  <si>
    <t>(100 to 1000) V</t>
  </si>
  <si>
    <t>7.2 µV/V + 120 µV</t>
  </si>
  <si>
    <t>1000</t>
  </si>
  <si>
    <t>7.2</t>
  </si>
  <si>
    <t>Generate</t>
  </si>
  <si>
    <t>Fluke 5502A monitored by HP3458A</t>
  </si>
  <si>
    <t>DC Current</t>
  </si>
  <si>
    <t>Up to 100 nA</t>
  </si>
  <si>
    <t>34 µA/A + 0.047 nA</t>
  </si>
  <si>
    <t>nA</t>
  </si>
  <si>
    <t>34.0</t>
  </si>
  <si>
    <t>µA/A</t>
  </si>
  <si>
    <t>100 nA to 1 µA</t>
  </si>
  <si>
    <t>23 µA/A + 0.048 nA</t>
  </si>
  <si>
    <t>µA</t>
  </si>
  <si>
    <t>23.0</t>
  </si>
  <si>
    <t>(1 to 10) µA</t>
  </si>
  <si>
    <t>23 µA/A + 0.12 nA</t>
  </si>
  <si>
    <t>(10 to 100) µA</t>
  </si>
  <si>
    <t>23 µA/A + 0.11 nA</t>
  </si>
  <si>
    <t>(0.1 to 1) mA</t>
  </si>
  <si>
    <t>23 µA/A + 5.9 nA</t>
  </si>
  <si>
    <t>mA</t>
  </si>
  <si>
    <t>(1 to 10) mA</t>
  </si>
  <si>
    <t>23 µA/A + 59 nA</t>
  </si>
  <si>
    <t>(10 to 100) mA</t>
  </si>
  <si>
    <t>40 µA/A + 0.63 µA</t>
  </si>
  <si>
    <t>40.0</t>
  </si>
  <si>
    <t>100 mA to 1 A</t>
  </si>
  <si>
    <t>130 µA/A + 12 µA</t>
  </si>
  <si>
    <t>A</t>
  </si>
  <si>
    <t>130.0</t>
  </si>
  <si>
    <t>(1 to 20) A</t>
  </si>
  <si>
    <t>4.7 µA/A + 110 µA</t>
  </si>
  <si>
    <t>EL 7520 current shunt</t>
  </si>
  <si>
    <t>With EL 7520 current shunt</t>
  </si>
  <si>
    <t>(11 to 30) A</t>
  </si>
  <si>
    <t>0.2 % rdg + 1.6 mA</t>
  </si>
  <si>
    <t>Fluke 5502A, 10 turn coil</t>
  </si>
  <si>
    <t>30</t>
  </si>
  <si>
    <t>0.2</t>
  </si>
  <si>
    <t>(30 to 110) A</t>
  </si>
  <si>
    <t>0.21 % rdg + 3.9 mA</t>
  </si>
  <si>
    <t>110</t>
  </si>
  <si>
    <t>0.21</t>
  </si>
  <si>
    <t>(110 to 205) A</t>
  </si>
  <si>
    <t>0.23 % rdg + 6.4 mA</t>
  </si>
  <si>
    <t>205</t>
  </si>
  <si>
    <t>0.23</t>
  </si>
  <si>
    <t>(55 to 150) A</t>
  </si>
  <si>
    <t>0.2 % rdg + 7.7 mA</t>
  </si>
  <si>
    <t>Fluke 5502A, 50 turn coil</t>
  </si>
  <si>
    <t>150</t>
  </si>
  <si>
    <t>(150 to 550) A</t>
  </si>
  <si>
    <t>0.22 % rdg + 19 mA</t>
  </si>
  <si>
    <t>550</t>
  </si>
  <si>
    <t>0.22</t>
  </si>
  <si>
    <t>(525 to 1025) A</t>
  </si>
  <si>
    <t>0.23 % rdg + 32 mA</t>
  </si>
  <si>
    <t>525</t>
  </si>
  <si>
    <t>1025</t>
  </si>
  <si>
    <t>Resistance</t>
  </si>
  <si>
    <t>Generate &amp; Measure</t>
  </si>
  <si>
    <t>(0 to 1) Ω</t>
  </si>
  <si>
    <t>81 µΩ/Ω + 2.7 µΩ</t>
  </si>
  <si>
    <t>HP34420A, HP3458A</t>
  </si>
  <si>
    <t>0</t>
  </si>
  <si>
    <t>Ω</t>
  </si>
  <si>
    <t>81.0</t>
  </si>
  <si>
    <t>µΩ/Ω</t>
  </si>
  <si>
    <t>µΩ</t>
  </si>
  <si>
    <t>(1 to 10) Ω</t>
  </si>
  <si>
    <t>17 µΩ/Ω + 62 µΩ</t>
  </si>
  <si>
    <t>17.0</t>
  </si>
  <si>
    <t>(10 to 100) Ω</t>
  </si>
  <si>
    <t>14 µΩ/Ω + 0.58 mΩ</t>
  </si>
  <si>
    <t>mΩ</t>
  </si>
  <si>
    <t>100 Ω to 1 kΩ</t>
  </si>
  <si>
    <t>12 µΩ/Ω + 0.59 mΩ</t>
  </si>
  <si>
    <t>kΩ</t>
  </si>
  <si>
    <t>(1 to 10) kΩ</t>
  </si>
  <si>
    <t>12 µΩ/Ω + 5.9 mΩ</t>
  </si>
  <si>
    <t>(10 to 100) kΩ</t>
  </si>
  <si>
    <t>12 µΩ/Ω + 58 mΩ</t>
  </si>
  <si>
    <t>100 kΩ to 1 MΩ</t>
  </si>
  <si>
    <t>17 µΩ/Ω + 2.8 Ω</t>
  </si>
  <si>
    <t>MΩ</t>
  </si>
  <si>
    <t>(1 to 10) MΩ</t>
  </si>
  <si>
    <t>58 µΩ/Ω + 120 Ω</t>
  </si>
  <si>
    <t>58.0</t>
  </si>
  <si>
    <t>(10 to 100) MΩ</t>
  </si>
  <si>
    <t>0.058 % rdg + 1.2 kΩ</t>
  </si>
  <si>
    <t>0.058</t>
  </si>
  <si>
    <t>100 MΩ to 1 GΩ</t>
  </si>
  <si>
    <t>0.58 % rdg + 12 kΩ</t>
  </si>
  <si>
    <t>GΩ</t>
  </si>
  <si>
    <t>0.58</t>
  </si>
  <si>
    <t>Capacitance</t>
  </si>
  <si>
    <t>(0.22 to 3.3) nF</t>
  </si>
  <si>
    <t>0.58 % rdg + 12 pF</t>
  </si>
  <si>
    <t>Fluke 5502A</t>
  </si>
  <si>
    <t>nF</t>
  </si>
  <si>
    <t>pF</t>
  </si>
  <si>
    <t>(3.3 to 11) nF</t>
  </si>
  <si>
    <t>0.29 % rdg + 12 pF</t>
  </si>
  <si>
    <t>0.29</t>
  </si>
  <si>
    <t>(11 to 33) nF</t>
  </si>
  <si>
    <t>0.29 % rdg + 120 pF</t>
  </si>
  <si>
    <t>33</t>
  </si>
  <si>
    <t>(33 to 110) nF</t>
  </si>
  <si>
    <t>(110 to 330) nF</t>
  </si>
  <si>
    <t>0.29 % rdg + 350 pF</t>
  </si>
  <si>
    <t>(0.33 to 1.1) µF</t>
  </si>
  <si>
    <t>0.29 % rdg + 1.2 nF</t>
  </si>
  <si>
    <t>0.33</t>
  </si>
  <si>
    <t>µF</t>
  </si>
  <si>
    <t>1.1</t>
  </si>
  <si>
    <t>(1.1 to 3.3) µF</t>
  </si>
  <si>
    <t>0.29 % rdg + 3.5 nF</t>
  </si>
  <si>
    <t>(3.3 to 11) µF</t>
  </si>
  <si>
    <t>0.29 % rdg + 12 nF</t>
  </si>
  <si>
    <t>(11 to 33) µF</t>
  </si>
  <si>
    <t>0.46 % rdg + 36 nF</t>
  </si>
  <si>
    <t>0.46</t>
  </si>
  <si>
    <t>(33 to 110) µF</t>
  </si>
  <si>
    <t>0.52 % rdg + 120 nF</t>
  </si>
  <si>
    <t>0.52</t>
  </si>
  <si>
    <t>(110 to 330) µF</t>
  </si>
  <si>
    <t>0.52 % rdg + 350 nF</t>
  </si>
  <si>
    <t>(0.33 to 1.1) mF</t>
  </si>
  <si>
    <t>0.52 % rdg + 1.2 µF</t>
  </si>
  <si>
    <t>mF</t>
  </si>
  <si>
    <t>(1.1 to 3.3) mF</t>
  </si>
  <si>
    <t>0.52 % rdg + 3.5 µF</t>
  </si>
  <si>
    <t>(3.3 to 11) mF</t>
  </si>
  <si>
    <t>0.52 % rdg + 13 µF</t>
  </si>
  <si>
    <t>(11 to 33) mF</t>
  </si>
  <si>
    <t>0.87 % rdg + 35 µF</t>
  </si>
  <si>
    <t>0.87</t>
  </si>
  <si>
    <t>(33 to 110) mF</t>
  </si>
  <si>
    <t>1.3 % rdg + 120 µF</t>
  </si>
  <si>
    <t>Electrical Calibration of Thermocouple Indicators &amp; Simulators</t>
  </si>
  <si>
    <t>Type E</t>
  </si>
  <si>
    <t>(-454 to 300) °F</t>
  </si>
  <si>
    <t>0.17 °F</t>
  </si>
  <si>
    <t>Fluke 5502A or HP</t>
  </si>
  <si>
    <t>-454</t>
  </si>
  <si>
    <t>°F</t>
  </si>
  <si>
    <t>0.17</t>
  </si>
  <si>
    <t>(300 to 1100) °F</t>
  </si>
  <si>
    <t>0.11 °F</t>
  </si>
  <si>
    <t>3245A, monitored by HP 3458A</t>
  </si>
  <si>
    <t>1100</t>
  </si>
  <si>
    <t>(1100 to 1832) °F</t>
  </si>
  <si>
    <t>1832</t>
  </si>
  <si>
    <t>Type J</t>
  </si>
  <si>
    <t>(-346 to -120) °F</t>
  </si>
  <si>
    <t>0.28 °F</t>
  </si>
  <si>
    <t>-346</t>
  </si>
  <si>
    <t>-120</t>
  </si>
  <si>
    <t>0.28</t>
  </si>
  <si>
    <t>(-120 to 500) °F</t>
  </si>
  <si>
    <t>500</t>
  </si>
  <si>
    <t>(500 to 1350) °F</t>
  </si>
  <si>
    <t>0.13 °F</t>
  </si>
  <si>
    <t>1350</t>
  </si>
  <si>
    <t>(1350 to 2192) °F</t>
  </si>
  <si>
    <t>2192</t>
  </si>
  <si>
    <t>Type K</t>
  </si>
  <si>
    <t>(-454 to -400) °F</t>
  </si>
  <si>
    <t>5.4 °F</t>
  </si>
  <si>
    <t>-400</t>
  </si>
  <si>
    <t>5.4</t>
  </si>
  <si>
    <t>(-400 to -120) °F</t>
  </si>
  <si>
    <t>0.79 °F</t>
  </si>
  <si>
    <t>0.79</t>
  </si>
  <si>
    <t>0.22 °F</t>
  </si>
  <si>
    <t>(500 to 1500) °F</t>
  </si>
  <si>
    <t>0.18 °F</t>
  </si>
  <si>
    <t>1500</t>
  </si>
  <si>
    <t>0.18</t>
  </si>
  <si>
    <t>(1500 to 2500) °F</t>
  </si>
  <si>
    <t>0.20 °F</t>
  </si>
  <si>
    <t>2500</t>
  </si>
  <si>
    <t>Type N</t>
  </si>
  <si>
    <t>(-400 to -300) °F</t>
  </si>
  <si>
    <t>1.7 °F</t>
  </si>
  <si>
    <t>-300</t>
  </si>
  <si>
    <t>1.7</t>
  </si>
  <si>
    <t>(-300 to -150) °F</t>
  </si>
  <si>
    <t>0.54 °F</t>
  </si>
  <si>
    <t>-150</t>
  </si>
  <si>
    <t>0.54</t>
  </si>
  <si>
    <t>(-150 to -50) °F</t>
  </si>
  <si>
    <t>0.35 °F</t>
  </si>
  <si>
    <t>-50</t>
  </si>
  <si>
    <t>0.35</t>
  </si>
  <si>
    <t>(-50 to 700) °F</t>
  </si>
  <si>
    <t>0.29 °F</t>
  </si>
  <si>
    <t>(700 to 1500) °F</t>
  </si>
  <si>
    <t>0.21 °F</t>
  </si>
  <si>
    <t>(1500 to 2372) °F</t>
  </si>
  <si>
    <t>2372</t>
  </si>
  <si>
    <t>Type R</t>
  </si>
  <si>
    <t>(-58 to 32) °F</t>
  </si>
  <si>
    <t>0.65 °F</t>
  </si>
  <si>
    <t>-58</t>
  </si>
  <si>
    <t>32</t>
  </si>
  <si>
    <t>(32 to 400) °F</t>
  </si>
  <si>
    <t>0.38 °F</t>
  </si>
  <si>
    <t>400</t>
  </si>
  <si>
    <t>0.38</t>
  </si>
  <si>
    <t>(400 to 1100) °F</t>
  </si>
  <si>
    <t>0.27 °F</t>
  </si>
  <si>
    <t>0.27</t>
  </si>
  <si>
    <t>(1100 to 2200) °F</t>
  </si>
  <si>
    <t>0.24 °F</t>
  </si>
  <si>
    <t>2200</t>
  </si>
  <si>
    <t>0.24</t>
  </si>
  <si>
    <t>Type S</t>
  </si>
  <si>
    <t>(2200 to 3214) °F</t>
  </si>
  <si>
    <t>3214</t>
  </si>
  <si>
    <t>0.51 °F</t>
  </si>
  <si>
    <t>0.51</t>
  </si>
  <si>
    <t>0.33 °F</t>
  </si>
  <si>
    <t>Type T</t>
  </si>
  <si>
    <t>0.69 °F</t>
  </si>
  <si>
    <t>0.69</t>
  </si>
  <si>
    <t>(-300 to 120) °F</t>
  </si>
  <si>
    <t>0.34 °F</t>
  </si>
  <si>
    <t>0.34</t>
  </si>
  <si>
    <t>(-120 to 200) °F</t>
  </si>
  <si>
    <t>0.23 °F</t>
  </si>
  <si>
    <t>200</t>
  </si>
  <si>
    <t>(200 to 752) °F</t>
  </si>
  <si>
    <t>0.16 °F</t>
  </si>
  <si>
    <t>752</t>
  </si>
  <si>
    <t>0.16</t>
  </si>
  <si>
    <t>Electrical Calibration of RTD Indicators &amp; Simulators</t>
  </si>
  <si>
    <t>Pt 385, 100 Ω</t>
  </si>
  <si>
    <t>(-320 to 32) °F</t>
  </si>
  <si>
    <t>0.013 °F</t>
  </si>
  <si>
    <t>-320</t>
  </si>
  <si>
    <t>0.016 °F</t>
  </si>
  <si>
    <t>0.016</t>
  </si>
  <si>
    <t>(400 to 800) °F</t>
  </si>
  <si>
    <t>0.02 °F</t>
  </si>
  <si>
    <t>800</t>
  </si>
  <si>
    <t>0.02</t>
  </si>
  <si>
    <t>(800 to 1200) °F</t>
  </si>
  <si>
    <t>0.027 °F</t>
  </si>
  <si>
    <t>1200</t>
  </si>
  <si>
    <t>0.027</t>
  </si>
  <si>
    <t>(1200 to 1562) °F</t>
  </si>
  <si>
    <t>0.035 °F</t>
  </si>
  <si>
    <t>1562</t>
  </si>
  <si>
    <t>0.035</t>
  </si>
  <si>
    <t>Pt 385, 1000 Ω</t>
  </si>
  <si>
    <t>0.009 °F</t>
  </si>
  <si>
    <t>0.009</t>
  </si>
  <si>
    <t>0.020 °F</t>
  </si>
  <si>
    <t>0.033 °F</t>
  </si>
  <si>
    <t>0.033</t>
  </si>
  <si>
    <t>AC Voltage – Measure</t>
  </si>
  <si>
    <t>(1 to 10) mV</t>
  </si>
  <si>
    <t>(1 to 40) Hz</t>
  </si>
  <si>
    <t>0.034 % + 3.6 µV</t>
  </si>
  <si>
    <t>Hz</t>
  </si>
  <si>
    <t>0.034</t>
  </si>
  <si>
    <t>%</t>
  </si>
  <si>
    <t>40 Hz to 1 kHz</t>
  </si>
  <si>
    <t>0.023 % + 1.4 µV</t>
  </si>
  <si>
    <t>kHz</t>
  </si>
  <si>
    <t>(1 to 20) kHz</t>
  </si>
  <si>
    <t>0.034 % + 1.4 µV</t>
  </si>
  <si>
    <t>(20 to 50) kHz</t>
  </si>
  <si>
    <t>0.011 % + 1.9 µV</t>
  </si>
  <si>
    <t>(50 to 100) kHz</t>
  </si>
  <si>
    <t>0.58 % + 1.4 µV</t>
  </si>
  <si>
    <t>(100 to 300) kHz</t>
  </si>
  <si>
    <t>4.6 % + 4.2 µV</t>
  </si>
  <si>
    <t>(0.3 to 1) MHz</t>
  </si>
  <si>
    <t>4.6 % + 7.7 µV</t>
  </si>
  <si>
    <t>MHz</t>
  </si>
  <si>
    <t>(1 to 4) MHz</t>
  </si>
  <si>
    <t>8.1 % + 8.8 µV</t>
  </si>
  <si>
    <t>8.1</t>
  </si>
  <si>
    <t>(4 to 8) MHz</t>
  </si>
  <si>
    <t>23 % + 19 µV</t>
  </si>
  <si>
    <t>(10 to 100) mV</t>
  </si>
  <si>
    <t>83 µV/V + 4.7 µV</t>
  </si>
  <si>
    <t>83 µV/V + 2.4 µV</t>
  </si>
  <si>
    <t>0.016 % + 2.7 µV</t>
  </si>
  <si>
    <t>0.035 % + 2.4 µV</t>
  </si>
  <si>
    <t>0.092 % + 2.8 µV</t>
  </si>
  <si>
    <t>0.092</t>
  </si>
  <si>
    <t>0.35 % + 12 µV</t>
  </si>
  <si>
    <t>300 kHz to 1 MHz</t>
  </si>
  <si>
    <t>1.2 % + 12 µV</t>
  </si>
  <si>
    <t>1.2</t>
  </si>
  <si>
    <t>(1 to 2) MHz</t>
  </si>
  <si>
    <t>1.7 % + 45 µV</t>
  </si>
  <si>
    <t>(2 to 4) MHz</t>
  </si>
  <si>
    <t>4.6 % + 100 µV</t>
  </si>
  <si>
    <t>4.6 % + 120 µV</t>
  </si>
  <si>
    <t>(8 to 10) MHz</t>
  </si>
  <si>
    <t>17 % + 440 µV</t>
  </si>
  <si>
    <t>100 mV to 1 V</t>
  </si>
  <si>
    <t>82 µV/V + 47 µV</t>
  </si>
  <si>
    <t>82.0</t>
  </si>
  <si>
    <t>82 µV/V + 24 µV</t>
  </si>
  <si>
    <t>0.016 % + 26 µV</t>
  </si>
  <si>
    <t>0.035 % + 24 µV</t>
  </si>
  <si>
    <t>0.092 % + 28 µV</t>
  </si>
  <si>
    <t>0.35 % + 120 µV</t>
  </si>
  <si>
    <t>1.2 % + 120 µV</t>
  </si>
  <si>
    <t>1.7 % + 450 µV</t>
  </si>
  <si>
    <t>4.6 % + 1.1 mV</t>
  </si>
  <si>
    <t>4.6 % + 1.2 mV</t>
  </si>
  <si>
    <t>17 % + 4.4 mV</t>
  </si>
  <si>
    <t>83 µV/V + 0.47 mV</t>
  </si>
  <si>
    <t>82 µV/V + 0.24 mV</t>
  </si>
  <si>
    <t>0.016 % + 0.26 mV</t>
  </si>
  <si>
    <t>0.035 % + 0.24 mV</t>
  </si>
  <si>
    <t>0.092 % + 0.28 mV</t>
  </si>
  <si>
    <t>0.35 % + 1.2 mV</t>
  </si>
  <si>
    <t>1.2 % + 1.2 mV</t>
  </si>
  <si>
    <t>1.7 % + 4.6 mV</t>
  </si>
  <si>
    <t>4.6 % + 11 mV</t>
  </si>
  <si>
    <t>4.6 % + 12 mV</t>
  </si>
  <si>
    <t>17 % + 44 mV</t>
  </si>
  <si>
    <t>0.023 % + 4.8 mV</t>
  </si>
  <si>
    <t>0.023 % + 2.5 mV</t>
  </si>
  <si>
    <t>0.04 % + 2.8 mV</t>
  </si>
  <si>
    <t>0.14 % + 2.4 mV</t>
  </si>
  <si>
    <t>0.14</t>
  </si>
  <si>
    <t>0.46 % + 14 mV</t>
  </si>
  <si>
    <t>1.7 % + 44 mV</t>
  </si>
  <si>
    <t>0.046 % + 49 mV</t>
  </si>
  <si>
    <t>0.046</t>
  </si>
  <si>
    <t>0.046 % + 26 mV</t>
  </si>
  <si>
    <t>0.07 % + 23 mV</t>
  </si>
  <si>
    <t>0.07</t>
  </si>
  <si>
    <t>0.14 % + 23 mV</t>
  </si>
  <si>
    <t>0.35 % + 23 mV</t>
  </si>
  <si>
    <t>AC Voltage – Generate</t>
  </si>
  <si>
    <t>0.022 % + 1.5 µV</t>
  </si>
  <si>
    <t>0.022</t>
  </si>
  <si>
    <t>0.033 % + 1.5 µV</t>
  </si>
  <si>
    <t>0.11 % + 1.9 µV</t>
  </si>
  <si>
    <t>0.58 % + 1.5 µV</t>
  </si>
  <si>
    <t>(10 to 20) V</t>
  </si>
  <si>
    <t>0.023 % + 4.7 mV</t>
  </si>
  <si>
    <t>0.023 % + 2.4 mV</t>
  </si>
  <si>
    <t>0.004 % + 2.5 mV</t>
  </si>
  <si>
    <t>0.004</t>
  </si>
  <si>
    <t>0.46 % + 12 mV</t>
  </si>
  <si>
    <t>1.7 % + 19 mV</t>
  </si>
  <si>
    <t>(20 to 100) V</t>
  </si>
  <si>
    <t>0.021 % + 4.9 mV</t>
  </si>
  <si>
    <t>0.021</t>
  </si>
  <si>
    <t>0.036 % + 6.8 mV</t>
  </si>
  <si>
    <t>0.036</t>
  </si>
  <si>
    <t>0.12 % + 21 mV</t>
  </si>
  <si>
    <t>0.12</t>
  </si>
  <si>
    <t>(100 to 330) V</t>
  </si>
  <si>
    <t>0.046 % + 47 mV</t>
  </si>
  <si>
    <t>0.046 % + 24 mV</t>
  </si>
  <si>
    <t>(330 to 1000) V</t>
  </si>
  <si>
    <t>0 046 % + 49 mV</t>
  </si>
  <si>
    <t>046 %</t>
  </si>
  <si>
    <t>(1 to 10) kHz</t>
  </si>
  <si>
    <t>AC Current – Generate &amp; Measure</t>
  </si>
  <si>
    <t>Up to 100 µA</t>
  </si>
  <si>
    <t>(10 to 20) Hz</t>
  </si>
  <si>
    <t>0.42 % + 0.077 µA</t>
  </si>
  <si>
    <t>HP 3458A with Fluke 5502A</t>
  </si>
  <si>
    <t>0.42</t>
  </si>
  <si>
    <t>(20 to 45) Hz</t>
  </si>
  <si>
    <t>0.17 % + 0.038 µA</t>
  </si>
  <si>
    <t>45 Hz to 5 kHz</t>
  </si>
  <si>
    <t>0.069 % + 0.036 µA</t>
  </si>
  <si>
    <t>0.069</t>
  </si>
  <si>
    <t>100 µA to 1 mA</t>
  </si>
  <si>
    <t>0.46 % + 0.25 µA</t>
  </si>
  <si>
    <t>0.17 % + 0.27 µA</t>
  </si>
  <si>
    <t>(45 to 100) Hz</t>
  </si>
  <si>
    <t>0.069 % + 0.24 µA</t>
  </si>
  <si>
    <t>100 Hz to 5 kHz</t>
  </si>
  <si>
    <t>0.035 % + 0.24 µA</t>
  </si>
  <si>
    <t>(5 to 20) kHz</t>
  </si>
  <si>
    <t>0.07 % + 0.24 µA</t>
  </si>
  <si>
    <t>0.47 % + 0.47 µA</t>
  </si>
  <si>
    <t>0.47</t>
  </si>
  <si>
    <t>0.64 % + 1.8 µA</t>
  </si>
  <si>
    <t>0.64</t>
  </si>
  <si>
    <t>(10 Hz to 20) Hz</t>
  </si>
  <si>
    <t>0.46 % + 2.5 µA</t>
  </si>
  <si>
    <t>(20 Hz to 45) Hz</t>
  </si>
  <si>
    <t>0.17 % + 2.7 µA</t>
  </si>
  <si>
    <t>(45 Hz to 100) Hz</t>
  </si>
  <si>
    <t>0.069 % + 2.4 µA</t>
  </si>
  <si>
    <t>0.035 % + 2.4 µA</t>
  </si>
  <si>
    <t>(5 kHz to 20) kHz</t>
  </si>
  <si>
    <t>0.07 % + 2.4 µA</t>
  </si>
  <si>
    <t>0.47 % + 4.7 µA</t>
  </si>
  <si>
    <t>0.64 % + 18 µA</t>
  </si>
  <si>
    <t>0.46 % + 25 µA</t>
  </si>
  <si>
    <t>0.17 % + 27 µA</t>
  </si>
  <si>
    <t>0.069 % + 24 µA</t>
  </si>
  <si>
    <t>0.035 % + 24 µA</t>
  </si>
  <si>
    <t>0.07 % + 24 µA</t>
  </si>
  <si>
    <t>0.47 % + 47 µA</t>
  </si>
  <si>
    <t>0.64 % + 0.18 mA</t>
  </si>
  <si>
    <t>0.46 % + 0.25 mA</t>
  </si>
  <si>
    <t>0.18 % + 0.28 mA</t>
  </si>
  <si>
    <t>0.092 % + 0.24 mA</t>
  </si>
  <si>
    <t>0.12 % + 0.24 mA</t>
  </si>
  <si>
    <t>0.35 % + 0.24 mA</t>
  </si>
  <si>
    <t>1.2 % + 0.47 mA</t>
  </si>
  <si>
    <t>(1 to 10) A</t>
  </si>
  <si>
    <t>(1 to 50) Hz</t>
  </si>
  <si>
    <t>0.0093 % + 0.46 mA</t>
  </si>
  <si>
    <t>HP 3458A with Fluke</t>
  </si>
  <si>
    <t>0.0093</t>
  </si>
  <si>
    <t>50 Hz to 1 kHz</t>
  </si>
  <si>
    <t>0.012 % + 0.45 mA</t>
  </si>
  <si>
    <t>5502A and current</t>
  </si>
  <si>
    <t>0.012</t>
  </si>
  <si>
    <t>(1 to 5) kHz</t>
  </si>
  <si>
    <t>0.067 % + 1.2 mA</t>
  </si>
  <si>
    <t>shunt</t>
  </si>
  <si>
    <t>0.067</t>
  </si>
  <si>
    <t>(10 to 20) A</t>
  </si>
  <si>
    <t>0.0083 % + 0.47 mA</t>
  </si>
  <si>
    <t>0.0083</t>
  </si>
  <si>
    <t>0.012 % + 2.2 mA</t>
  </si>
  <si>
    <t>0.066 % + 1.1 mA</t>
  </si>
  <si>
    <t>0.066</t>
  </si>
  <si>
    <t>AC Current – Generate</t>
  </si>
  <si>
    <t>(29 to 330) µA</t>
  </si>
  <si>
    <t>0.23 % + 0.13 µA</t>
  </si>
  <si>
    <t>29</t>
  </si>
  <si>
    <t>0.17 % + 0.13 µA</t>
  </si>
  <si>
    <t>45 Hz to 1 kHz</t>
  </si>
  <si>
    <t>0.14 % + 0.14 µA</t>
  </si>
  <si>
    <t>0.35 % + 0.18 µA</t>
  </si>
  <si>
    <t>(5 to 10) kHz</t>
  </si>
  <si>
    <t>0.92 % + 0.25 µA</t>
  </si>
  <si>
    <t>0.92</t>
  </si>
  <si>
    <t>(10 to 30) kHz</t>
  </si>
  <si>
    <t>1.8 % + 0.62 µA</t>
  </si>
  <si>
    <t>1.8</t>
  </si>
  <si>
    <t>330 µA to 3.3 mA</t>
  </si>
  <si>
    <t>0.23 % + 0.23 µA</t>
  </si>
  <si>
    <t>0.14 % + 0.32 µA</t>
  </si>
  <si>
    <t>0.12 % + 0.18 µA</t>
  </si>
  <si>
    <t>0.23 % + 0.27 µA</t>
  </si>
  <si>
    <t>0.58 % + 0.35 µA</t>
  </si>
  <si>
    <t>1.2 % + 0.7 µA</t>
  </si>
  <si>
    <t>(3.3 to 33) mA</t>
  </si>
  <si>
    <t>0.21 % + 2.4 µA</t>
  </si>
  <si>
    <t>0.1 % + 3.8 µA</t>
  </si>
  <si>
    <t>0.047 % + 2.4 µA</t>
  </si>
  <si>
    <t>0.047</t>
  </si>
  <si>
    <t>0.093 % + 2.4 µA</t>
  </si>
  <si>
    <t>0.093</t>
  </si>
  <si>
    <t>0.23 % + 3.8 µA</t>
  </si>
  <si>
    <t>0.46 % + 5.3 µA</t>
  </si>
  <si>
    <t>(33 to 330) mA</t>
  </si>
  <si>
    <t>0.21 % + 23 µA</t>
  </si>
  <si>
    <t>0.1 % + 38 µA</t>
  </si>
  <si>
    <t>0.047 % + 24 µA</t>
  </si>
  <si>
    <t>0.12 % + 58 µA</t>
  </si>
  <si>
    <t>0.23 % + 0.12 mA</t>
  </si>
  <si>
    <t>0.46 % + 0.24 mA</t>
  </si>
  <si>
    <t>330 mA to 1.1 A</t>
  </si>
  <si>
    <t>(10 to 45) Hz</t>
  </si>
  <si>
    <t>0.21 % + 0.12 mA</t>
  </si>
  <si>
    <t>0.058 % + 0.12 mA</t>
  </si>
  <si>
    <t>0.69 % + 1.2 mA</t>
  </si>
  <si>
    <t>2.9 % + 5.8 mA</t>
  </si>
  <si>
    <t>2.9</t>
  </si>
  <si>
    <t>(1.1 to 3) A</t>
  </si>
  <si>
    <t>0.069 % + 0.13 mA</t>
  </si>
  <si>
    <t>0.69 % + 1.3 mA</t>
  </si>
  <si>
    <t>(3 to 11) A</t>
  </si>
  <si>
    <t>0.069 % + 2.4 mA</t>
  </si>
  <si>
    <t>100 Hz to 1 kHz</t>
  </si>
  <si>
    <t>0.12 % + 2.4 mA</t>
  </si>
  <si>
    <t>3.5 % + 2.4 mA</t>
  </si>
  <si>
    <t>(11 to 20.5) A</t>
  </si>
  <si>
    <t>0.14 % + 5.8 mA</t>
  </si>
  <si>
    <t>20.5</t>
  </si>
  <si>
    <t>0.17 % + 6.5 mA</t>
  </si>
  <si>
    <t>3.5 % + 5.8 mA</t>
  </si>
  <si>
    <t>0.29 % + 0.87 mA</t>
  </si>
  <si>
    <t>Fluke 5502A with 10 turn coil</t>
  </si>
  <si>
    <t>0.21 % + 0.9 mA</t>
  </si>
  <si>
    <t>0.72 % + 12 mA</t>
  </si>
  <si>
    <t>0.72</t>
  </si>
  <si>
    <t>2.9 % + 58 mA</t>
  </si>
  <si>
    <t>0.21 % + 12 mA</t>
  </si>
  <si>
    <t>0.23 % + 15 mA</t>
  </si>
  <si>
    <t>3.5 % + 24 mA</t>
  </si>
  <si>
    <t>0.24 % + 42 mA</t>
  </si>
  <si>
    <t>0.26 % + 49 mA</t>
  </si>
  <si>
    <t>0.26</t>
  </si>
  <si>
    <t>3.5 % + 58 mA</t>
  </si>
  <si>
    <t>(60 to 220) A</t>
  </si>
  <si>
    <t>45 to 100) Hz</t>
  </si>
  <si>
    <t>0.21 % + 24 mA</t>
  </si>
  <si>
    <t>Fluke 5502A with 20 turn coil</t>
  </si>
  <si>
    <t>220</t>
  </si>
  <si>
    <t>) Hz</t>
  </si>
  <si>
    <t>0.23 % + 30 mA</t>
  </si>
  <si>
    <t>3.5 % + 47 mA</t>
  </si>
  <si>
    <t>(220 to 410) A</t>
  </si>
  <si>
    <t>0.24 % + 84 mA</t>
  </si>
  <si>
    <t>410</t>
  </si>
  <si>
    <t>0.26 % + 98 mA</t>
  </si>
  <si>
    <t>3.5 % + 0.12 A</t>
  </si>
  <si>
    <t>0.21 % + 59 mA</t>
  </si>
  <si>
    <t>Fluke 5502A with 50 turn coil</t>
  </si>
  <si>
    <t>0.23 % + 74 mA</t>
  </si>
  <si>
    <t>(550 to 1025) A</t>
  </si>
  <si>
    <t>0.24 % + 0.21 A</t>
  </si>
  <si>
    <t>0.26 % + 0.25 A</t>
  </si>
  <si>
    <t>3.5 % + 0.29 A</t>
  </si>
  <si>
    <t>DC Power</t>
  </si>
  <si>
    <t>Up to 109 µW</t>
  </si>
  <si>
    <t>0.36 % rdg</t>
  </si>
  <si>
    <t>109</t>
  </si>
  <si>
    <t>µW</t>
  </si>
  <si>
    <t>0.36</t>
  </si>
  <si>
    <t>(0.109 to 1.09) mW</t>
  </si>
  <si>
    <t>0.035 % rdg</t>
  </si>
  <si>
    <t>0.109</t>
  </si>
  <si>
    <t>mW</t>
  </si>
  <si>
    <t>1.09</t>
  </si>
  <si>
    <t>(1.09 to 10.9) mW</t>
  </si>
  <si>
    <t>0.024 % rdg</t>
  </si>
  <si>
    <t>10.9</t>
  </si>
  <si>
    <t>0.024</t>
  </si>
  <si>
    <t>(10.9 to 109) mW</t>
  </si>
  <si>
    <t>0.019 % rdg</t>
  </si>
  <si>
    <t>0.019</t>
  </si>
  <si>
    <t>(0.109 to 1.09) W</t>
  </si>
  <si>
    <t>0.023 % rdg</t>
  </si>
  <si>
    <t>W</t>
  </si>
  <si>
    <t>(1.09 to 10.9) W</t>
  </si>
  <si>
    <t>(10.9 to 109) W</t>
  </si>
  <si>
    <t>(109 to 330) W</t>
  </si>
  <si>
    <t>0.015 % rdg</t>
  </si>
  <si>
    <t>0.015</t>
  </si>
  <si>
    <t>(0.33 to 3) kW</t>
  </si>
  <si>
    <t>0.06 % rdg</t>
  </si>
  <si>
    <t>kW</t>
  </si>
  <si>
    <t>0.06</t>
  </si>
  <si>
    <t>(3 to 11) kW</t>
  </si>
  <si>
    <t>0.092 % rdg</t>
  </si>
  <si>
    <t>(11 to 20.5) kW</t>
  </si>
  <si>
    <t>0.14 % rdg</t>
  </si>
  <si>
    <t>(3.3 to 30) kW</t>
  </si>
  <si>
    <t>0.21 % rdg</t>
  </si>
  <si>
    <t>(30 to 110) kW</t>
  </si>
  <si>
    <t>0.22 % rdg</t>
  </si>
  <si>
    <t>(110 to 205) kW</t>
  </si>
  <si>
    <t>0.24 % rdg</t>
  </si>
  <si>
    <t>(60 to 220) kW</t>
  </si>
  <si>
    <t>(220 to 410) kW</t>
  </si>
  <si>
    <t>(150 to 550) kW</t>
  </si>
  <si>
    <t>Fluke 5502A with</t>
  </si>
  <si>
    <t>(550 to 1025) kW</t>
  </si>
  <si>
    <t>50turn coil</t>
  </si>
  <si>
    <t>AC Power</t>
  </si>
  <si>
    <t>Up to 10.9 µW</t>
  </si>
  <si>
    <t>2.5 % rdg</t>
  </si>
  <si>
    <t>2.5</t>
  </si>
  <si>
    <t>(45 to 65 Hz, PF=1)</t>
  </si>
  <si>
    <t>(10.9 to 109) µW</t>
  </si>
  <si>
    <t>0.26 % rdg</t>
  </si>
  <si>
    <t>0.17 % rdg</t>
  </si>
  <si>
    <t>0.13 % rdg</t>
  </si>
  <si>
    <t>0.078 % rdg</t>
  </si>
  <si>
    <t>0.078</t>
  </si>
  <si>
    <t>0.088 % rdg</t>
  </si>
  <si>
    <t>0.088</t>
  </si>
  <si>
    <t>(109 to 363) W</t>
  </si>
  <si>
    <t>0.12 % rdg</t>
  </si>
  <si>
    <t>363</t>
  </si>
  <si>
    <t>(363 to 990) W</t>
  </si>
  <si>
    <t>0.10 % rdg</t>
  </si>
  <si>
    <t>990</t>
  </si>
  <si>
    <t>(0.99 to 3.63) kW</t>
  </si>
  <si>
    <t>0.99</t>
  </si>
  <si>
    <t>3.63</t>
  </si>
  <si>
    <t>(3.63 to 11.2) kW</t>
  </si>
  <si>
    <t>0.16 % rdg</t>
  </si>
  <si>
    <t>11.2</t>
  </si>
  <si>
    <t>(11.2 to 20.9) kW</t>
  </si>
  <si>
    <t>0.21% rdg</t>
  </si>
  <si>
    <t>20.9</t>
  </si>
  <si>
    <t>rdg</t>
  </si>
  <si>
    <t>(9.9 to 36.3) kW</t>
  </si>
  <si>
    <t>0.26% rdg</t>
  </si>
  <si>
    <t>9.9</t>
  </si>
  <si>
    <t>36.3</t>
  </si>
  <si>
    <t>0.29% rdg</t>
  </si>
  <si>
    <t>(60 to 220.) kW</t>
  </si>
  <si>
    <t>.</t>
  </si>
  <si>
    <t>0.25% rdg</t>
  </si>
  <si>
    <t>0.25</t>
  </si>
  <si>
    <t>Electrical Calibration of Phase Indicators</t>
  </si>
  <si>
    <t>Source Only</t>
  </si>
  <si>
    <t>(10 to 65) Hz</t>
  </si>
  <si>
    <t>0.19° phase</t>
  </si>
  <si>
    <t>65</t>
  </si>
  <si>
    <t>0.19</t>
  </si>
  <si>
    <t>phase</t>
  </si>
  <si>
    <t>(65 to 500) Hz</t>
  </si>
  <si>
    <t>1.1° phase</t>
  </si>
  <si>
    <t>500 Hz to 1 kHz</t>
  </si>
  <si>
    <t>2.4° phase</t>
  </si>
  <si>
    <t>2.4</t>
  </si>
  <si>
    <t>7.0° phase</t>
  </si>
  <si>
    <t>7.0</t>
  </si>
  <si>
    <t>12° phase</t>
  </si>
  <si>
    <t>18° phase</t>
  </si>
  <si>
    <t>Electrical Conductivity</t>
  </si>
  <si>
    <t>Secondary Standards</t>
  </si>
  <si>
    <t>Up to 13 % IACS</t>
  </si>
  <si>
    <t>0.07 % IACS</t>
  </si>
  <si>
    <t>ASTM E1004 electrical conductivity by eddy current</t>
  </si>
  <si>
    <t>13</t>
  </si>
  <si>
    <t>% IACS</t>
  </si>
  <si>
    <t>(13 to 62) % IACS</t>
  </si>
  <si>
    <t>0.35 % rdg + 0.05 % IACS</t>
  </si>
  <si>
    <t>62</t>
  </si>
  <si>
    <t>&gt; 62 % IACS</t>
  </si>
  <si>
    <t>0.3 % rdg + 0.05 % IACS</t>
  </si>
  <si>
    <t>0.3</t>
  </si>
  <si>
    <t>Working Standards</t>
  </si>
  <si>
    <t>0.12 % IACS</t>
  </si>
  <si>
    <t>0.4 % rdg + 0.07 % IACS</t>
  </si>
  <si>
    <t>0.4</t>
  </si>
  <si>
    <t>0.35 % rdg + 0.11 % IACS</t>
  </si>
  <si>
    <t>Measuring Equipment</t>
  </si>
  <si>
    <t>Up to 16 % IACS</t>
  </si>
  <si>
    <t>0.13 % IACS</t>
  </si>
  <si>
    <t>(16 to 62) % IACS</t>
  </si>
  <si>
    <t>0.42 % rdg + 0.05 % IACS</t>
  </si>
  <si>
    <t>Torque Wrenches</t>
  </si>
  <si>
    <t>(0.5 to 15) ozf∙in</t>
  </si>
  <si>
    <t>0.082 % setting + 0.017 ozf∙in</t>
  </si>
  <si>
    <t>Torque arm and deadweights</t>
  </si>
  <si>
    <t>0.5</t>
  </si>
  <si>
    <t>ozf∙in</t>
  </si>
  <si>
    <t>0.082</t>
  </si>
  <si>
    <t>% setting</t>
  </si>
  <si>
    <t>15 ozf∙in to 2000 lbf∙ft</t>
  </si>
  <si>
    <t>0.66 % setting</t>
  </si>
  <si>
    <t>Torque transducers</t>
  </si>
  <si>
    <t>2000</t>
  </si>
  <si>
    <t>lbf∙ft</t>
  </si>
  <si>
    <t>0.66</t>
  </si>
  <si>
    <t>Torque Transducers</t>
  </si>
  <si>
    <t>(1.25 to 40) ozf∙in</t>
  </si>
  <si>
    <t>0.17 % rdg + 0.0003 ozf∙in</t>
  </si>
  <si>
    <t>Torque wheel/arms and weights</t>
  </si>
  <si>
    <t>1.25</t>
  </si>
  <si>
    <t>(2.5 to 100) lbf∙in</t>
  </si>
  <si>
    <t>lbf∙in</t>
  </si>
  <si>
    <t>(8.3 to 50) lbf∙ft</t>
  </si>
  <si>
    <t>0.11 % rdg</t>
  </si>
  <si>
    <t>8.3</t>
  </si>
  <si>
    <t>(50 to150) lbf∙ft</t>
  </si>
  <si>
    <t>(150 to 1200) lbf∙ft</t>
  </si>
  <si>
    <t>Scales and Balances</t>
  </si>
  <si>
    <t>(0.5 to 380) g</t>
  </si>
  <si>
    <t>(0.037 + 0.000 23W) mg</t>
  </si>
  <si>
    <t>Ultra Class weights, Class 1 weights</t>
  </si>
  <si>
    <t>g</t>
  </si>
  <si>
    <t>380</t>
  </si>
  <si>
    <t>0.037</t>
  </si>
  <si>
    <t>23W</t>
  </si>
  <si>
    <t>mg</t>
  </si>
  <si>
    <t>(380 to 1800) g</t>
  </si>
  <si>
    <t>(0.12 + 0.0001W) mg</t>
  </si>
  <si>
    <t>1800</t>
  </si>
  <si>
    <t>(0 to 200) g</t>
  </si>
  <si>
    <t>(0.69 + 0.0094W) mg</t>
  </si>
  <si>
    <t>Class F and 6 weights</t>
  </si>
  <si>
    <t>(200 to 1000) g</t>
  </si>
  <si>
    <t>(0.51 + 0.012W) mg</t>
  </si>
  <si>
    <t>(1 to 16.2) kg</t>
  </si>
  <si>
    <t>(26 + 0.0048W) mg</t>
  </si>
  <si>
    <t>kg</t>
  </si>
  <si>
    <t>16.2</t>
  </si>
  <si>
    <t>26.0</t>
  </si>
  <si>
    <t>(0.1 to 700) lb,</t>
  </si>
  <si>
    <t>(260 + 3.5W) mg</t>
  </si>
  <si>
    <t>(This instance, “W” = weight in lbs)</t>
  </si>
  <si>
    <t>lb,</t>
  </si>
  <si>
    <t>260.0</t>
  </si>
  <si>
    <t>Indirect Verification of Rockwell Hardness Testers</t>
  </si>
  <si>
    <t>HRA</t>
  </si>
  <si>
    <t>Low</t>
  </si>
  <si>
    <t>0.31 HRA</t>
  </si>
  <si>
    <t>Indirect verification per ASTM E18</t>
  </si>
  <si>
    <t>0.31</t>
  </si>
  <si>
    <t>Medium</t>
  </si>
  <si>
    <t>0.32 HRA</t>
  </si>
  <si>
    <t>0.32</t>
  </si>
  <si>
    <t>High</t>
  </si>
  <si>
    <t>0.20 HRA</t>
  </si>
  <si>
    <t>HRBW</t>
  </si>
  <si>
    <t>0.36 HRBW</t>
  </si>
  <si>
    <t>0.26 HRBW</t>
  </si>
  <si>
    <t>0.39 HRBW</t>
  </si>
  <si>
    <t>0.39</t>
  </si>
  <si>
    <t>HRC</t>
  </si>
  <si>
    <t>0.39 HRC</t>
  </si>
  <si>
    <t>0.33 HRC</t>
  </si>
  <si>
    <t>0.32 HRC</t>
  </si>
  <si>
    <t>HREW</t>
  </si>
  <si>
    <t>0.38 HREW</t>
  </si>
  <si>
    <t>0.49 HREW</t>
  </si>
  <si>
    <t>0.49</t>
  </si>
  <si>
    <t>HRFW</t>
  </si>
  <si>
    <t>0.28 HRFW</t>
  </si>
  <si>
    <t>0.46 HRFW</t>
  </si>
  <si>
    <t>0.45 HRFW</t>
  </si>
  <si>
    <t>0.45</t>
  </si>
  <si>
    <t>HRHW</t>
  </si>
  <si>
    <t>0.42 HRHW</t>
  </si>
  <si>
    <t>0.36 HRHW</t>
  </si>
  <si>
    <t>HR15N</t>
  </si>
  <si>
    <t>0.42 HR15N</t>
  </si>
  <si>
    <t>0.51 HR15N</t>
  </si>
  <si>
    <t>HR30N</t>
  </si>
  <si>
    <t>0.30 HR30N</t>
  </si>
  <si>
    <t>0.47 HR30N</t>
  </si>
  <si>
    <t>0.53 HR30N</t>
  </si>
  <si>
    <t>0.53</t>
  </si>
  <si>
    <t>HR45N</t>
  </si>
  <si>
    <t>0.50 HR45N</t>
  </si>
  <si>
    <t>0.25 HR45N</t>
  </si>
  <si>
    <t>0.20 HR45N</t>
  </si>
  <si>
    <t>HR15TW</t>
  </si>
  <si>
    <t>0.44 HR15TW</t>
  </si>
  <si>
    <t>0.44</t>
  </si>
  <si>
    <t>0.39 HR15TW</t>
  </si>
  <si>
    <t>0.32 HR15TW</t>
  </si>
  <si>
    <t>HR30TW</t>
  </si>
  <si>
    <t>0.58 HR30TW</t>
  </si>
  <si>
    <t>0.64 HR30TW</t>
  </si>
  <si>
    <t>0.22 HR30TW</t>
  </si>
  <si>
    <t>HR45TW</t>
  </si>
  <si>
    <t>0.70 HR45TW</t>
  </si>
  <si>
    <t>0.7</t>
  </si>
  <si>
    <t>0.40 HR45TW</t>
  </si>
  <si>
    <t>0.39 HR45TW</t>
  </si>
  <si>
    <t>Direct Verification of Rockwell Hardness Testers</t>
  </si>
  <si>
    <t>Verification of Test</t>
  </si>
  <si>
    <t>(3 to 15) kgf</t>
  </si>
  <si>
    <t>0.005 kgf + 0.03 % rdg</t>
  </si>
  <si>
    <t>Verification of test force by load cell</t>
  </si>
  <si>
    <t>kgf</t>
  </si>
  <si>
    <t>0.005</t>
  </si>
  <si>
    <t>Force</t>
  </si>
  <si>
    <t>(30 to 150) kgf</t>
  </si>
  <si>
    <t>0.049 kgf + 0.02 % rdg</t>
  </si>
  <si>
    <t>0.049</t>
  </si>
  <si>
    <t>Verification of Depth-Measuring</t>
  </si>
  <si>
    <t>(0 to 260) µm</t>
  </si>
  <si>
    <t>0.31 µm</t>
  </si>
  <si>
    <t>Per direct verification method of ASTM E18</t>
  </si>
  <si>
    <t>µm</t>
  </si>
  <si>
    <t>Verification of</t>
  </si>
  <si>
    <t>0.25 Rockwell Points</t>
  </si>
  <si>
    <t>Rockwell Points</t>
  </si>
  <si>
    <t>Indirect Verification of Brinell Hardness Testers at Test Condition(s)</t>
  </si>
  <si>
    <t>10/3000/15; Repeatability:</t>
  </si>
  <si>
    <t>≤ 225 HBW</t>
  </si>
  <si>
    <t>0.024D</t>
  </si>
  <si>
    <t>D is the mean of the n mean test diameters in millimeters</t>
  </si>
  <si>
    <t>225</t>
  </si>
  <si>
    <t>HBW</t>
  </si>
  <si>
    <t>(&gt; 225 to 650) HBW</t>
  </si>
  <si>
    <t>0.013D</t>
  </si>
  <si>
    <t>Error uncertainty is stated as a percentage of the standardized test block value</t>
  </si>
  <si>
    <t>10/3000/15; Error:</t>
  </si>
  <si>
    <t>1.5 %</t>
  </si>
  <si>
    <t>10/500/15; Repeatability:</t>
  </si>
  <si>
    <t>(40 to 126) HBW</t>
  </si>
  <si>
    <t>126</t>
  </si>
  <si>
    <t>10/500/15; Error:</t>
  </si>
  <si>
    <t>1.9 %</t>
  </si>
  <si>
    <t>1.9</t>
  </si>
  <si>
    <t>Indirect Verification of Microindentation Hardness Testers (Knoop and Vickers)</t>
  </si>
  <si>
    <t>Vickers:</t>
  </si>
  <si>
    <t>&lt; 240 HV</t>
  </si>
  <si>
    <t>4.3 HV</t>
  </si>
  <si>
    <t>ASTM E384 and E92</t>
  </si>
  <si>
    <t>HV</t>
  </si>
  <si>
    <t>(240 to 600) HV</t>
  </si>
  <si>
    <t>10 HV</t>
  </si>
  <si>
    <t>&gt; 600 HV</t>
  </si>
  <si>
    <t>13 HV</t>
  </si>
  <si>
    <t>Knoop:</t>
  </si>
  <si>
    <t>&lt; 250 HK</t>
  </si>
  <si>
    <t>5.2 HK</t>
  </si>
  <si>
    <t>250</t>
  </si>
  <si>
    <t>HK</t>
  </si>
  <si>
    <t>5.2</t>
  </si>
  <si>
    <t>(250 to 650) HK</t>
  </si>
  <si>
    <t>12 HK</t>
  </si>
  <si>
    <t>&gt; 650 HK</t>
  </si>
  <si>
    <t>15 HK</t>
  </si>
  <si>
    <t>Pressure</t>
  </si>
  <si>
    <t>Absolute &amp; Barometric Pressure</t>
  </si>
  <si>
    <t>(0 to 35) in·Hg</t>
  </si>
  <si>
    <t>0.0034 in·Hg</t>
  </si>
  <si>
    <t>Mensor CPG system</t>
  </si>
  <si>
    <t>in·Hg</t>
  </si>
  <si>
    <t>35</t>
  </si>
  <si>
    <t>0.0034</t>
  </si>
  <si>
    <t>Differential &amp; Gage Pressure</t>
  </si>
  <si>
    <t>(0 to 30) in·H₂O</t>
  </si>
  <si>
    <t>0.0029 in·H₂O</t>
  </si>
  <si>
    <t>in·H₂O</t>
  </si>
  <si>
    <t>0.0029</t>
  </si>
  <si>
    <t>(0 to 5) psi</t>
  </si>
  <si>
    <t>0.000 47 psi</t>
  </si>
  <si>
    <t>psi</t>
  </si>
  <si>
    <t>47 psi</t>
  </si>
  <si>
    <t>(5 to 15) psi</t>
  </si>
  <si>
    <t>0.0015 psi</t>
  </si>
  <si>
    <t>(10 to 500) psi</t>
  </si>
  <si>
    <t>0.002 psi + 0.018 % rdg</t>
  </si>
  <si>
    <t>Deadweight tester</t>
  </si>
  <si>
    <t>0.002</t>
  </si>
  <si>
    <t>(200 to 10 000) psi</t>
  </si>
  <si>
    <t>0.034 psi + 0.018 % rdg</t>
  </si>
  <si>
    <t>10000</t>
  </si>
  <si>
    <t>Vacuum</t>
  </si>
  <si>
    <t>Measure and Measuring Equipment</t>
  </si>
  <si>
    <t>(0 to 28.5) in·Hg</t>
  </si>
  <si>
    <t>0.0033 in·Hg</t>
  </si>
  <si>
    <t>28.5</t>
  </si>
  <si>
    <t>0.0033</t>
  </si>
  <si>
    <t>Thermometers</t>
  </si>
  <si>
    <t>(-112 °F to 32) °F</t>
  </si>
  <si>
    <t>0.048 °F</t>
  </si>
  <si>
    <t>PRT, Fluke 1502A</t>
  </si>
  <si>
    <t>-112</t>
  </si>
  <si>
    <t>0.048</t>
  </si>
  <si>
    <t>(32 °F to 212) °F</t>
  </si>
  <si>
    <t>0.041 °F</t>
  </si>
  <si>
    <t>212</t>
  </si>
  <si>
    <t>0.041</t>
  </si>
  <si>
    <t>(212 °F to 392) °F</t>
  </si>
  <si>
    <t>0.047 °F</t>
  </si>
  <si>
    <t>392</t>
  </si>
  <si>
    <t>(392 to 752) °F</t>
  </si>
  <si>
    <t>0.098 °F</t>
  </si>
  <si>
    <t>0.098</t>
  </si>
  <si>
    <t>Thermocouples</t>
  </si>
  <si>
    <t>(-112 to -22) °F</t>
  </si>
  <si>
    <t>0.19 °F</t>
  </si>
  <si>
    <t>Type "S" platinum standard T/C above</t>
  </si>
  <si>
    <t>-22</t>
  </si>
  <si>
    <t>(-22 to 752) °F</t>
  </si>
  <si>
    <t>(752 to 1200) °F</t>
  </si>
  <si>
    <t>2.0 °F</t>
  </si>
  <si>
    <t>752 °F, PRT below</t>
  </si>
  <si>
    <t>(1200 to 1832) °F</t>
  </si>
  <si>
    <t>2.2 °F</t>
  </si>
  <si>
    <t>752 °F, Fluke 1502A, Fluke 8846A</t>
  </si>
  <si>
    <t>2.2</t>
  </si>
  <si>
    <t>1.5 °F</t>
  </si>
  <si>
    <t>(1200 to 2000) °F</t>
  </si>
  <si>
    <t>(2000 to 2192) °F</t>
  </si>
  <si>
    <t>2.7 °F</t>
  </si>
  <si>
    <t>2.7</t>
  </si>
  <si>
    <t>(2000 to 2500) °F</t>
  </si>
  <si>
    <t>3.2 °F</t>
  </si>
  <si>
    <t>3.2</t>
  </si>
  <si>
    <t>0.26 °F</t>
  </si>
  <si>
    <t>1.6 °F</t>
  </si>
  <si>
    <t>1.6</t>
  </si>
  <si>
    <t>2.1 °F</t>
  </si>
  <si>
    <t>(2000 to 2372) °F</t>
  </si>
  <si>
    <t>2.9 °F</t>
  </si>
  <si>
    <t>(32 to 752) °F</t>
  </si>
  <si>
    <t>0.81 °F</t>
  </si>
  <si>
    <t>0.81</t>
  </si>
  <si>
    <t>3.3 °F</t>
  </si>
  <si>
    <t>Above 752 °F, comparison with NIST ref. standard below 752 °F, PRT, Fluke 1502A, Fluke</t>
  </si>
  <si>
    <t>1.0 °F</t>
  </si>
  <si>
    <t>1.0</t>
  </si>
  <si>
    <t>1.2 °F</t>
  </si>
  <si>
    <t>8846A</t>
  </si>
  <si>
    <t>Temperature Uniformity Survey</t>
  </si>
  <si>
    <t>(-100 to 392) °F</t>
  </si>
  <si>
    <t>1.4 °F</t>
  </si>
  <si>
    <t>IoTech DaqBook, with expendable and non- expendable thermocouples</t>
  </si>
  <si>
    <t>-100</t>
  </si>
  <si>
    <t>3.1 °F</t>
  </si>
  <si>
    <t>(Per AMS 2750)</t>
  </si>
  <si>
    <t>(1200 to 1800) °F</t>
  </si>
  <si>
    <t>3.7 °F</t>
  </si>
  <si>
    <t>3.7</t>
  </si>
  <si>
    <t>(1800 to 2300) °F</t>
  </si>
  <si>
    <t>4.1 °F</t>
  </si>
  <si>
    <t>2300</t>
  </si>
  <si>
    <t>4.1</t>
  </si>
  <si>
    <t>Temperature Probe ("SAT" per AMS 2750)</t>
  </si>
  <si>
    <t>(-112 to 392) °F</t>
  </si>
  <si>
    <t>0.64 °F</t>
  </si>
  <si>
    <t>Fluke 726 or equivalent, expendable and non-expendable thermocouples</t>
  </si>
  <si>
    <t>0.76 °F</t>
  </si>
  <si>
    <t>0.76</t>
  </si>
  <si>
    <t>1.8 °F</t>
  </si>
  <si>
    <t>2.4 °F</t>
  </si>
  <si>
    <t>(1800 to 2372) °F</t>
  </si>
  <si>
    <t>Infrared Thermometers</t>
  </si>
  <si>
    <t>(95 to 212) °F</t>
  </si>
  <si>
    <t>Hart 4181 black body Emissivity- 0.95</t>
  </si>
  <si>
    <t>95</t>
  </si>
  <si>
    <t>(212 to 392) °F</t>
  </si>
  <si>
    <t>(392 to 662) °F</t>
  </si>
  <si>
    <t>662</t>
  </si>
  <si>
    <t>(662 to 932) °F</t>
  </si>
  <si>
    <t>932</t>
  </si>
  <si>
    <t>Relative Humidity</t>
  </si>
  <si>
    <t>(10 to 95) % RH</t>
  </si>
  <si>
    <t>0.85 % RH</t>
  </si>
  <si>
    <t>EdgeTech chilled mirror hygrometer</t>
  </si>
  <si>
    <t>% RH</t>
  </si>
  <si>
    <t>0.85</t>
  </si>
  <si>
    <t>Dewpoint</t>
  </si>
  <si>
    <t>(-20 to 65) °C</t>
  </si>
  <si>
    <t>0.14 °C</t>
  </si>
  <si>
    <t>-20</t>
  </si>
  <si>
    <t>°C</t>
  </si>
  <si>
    <t>HP3458A</t>
  </si>
  <si>
    <t>40 Hz to 10 MHz</t>
  </si>
  <si>
    <t>0.012 % rdg</t>
  </si>
  <si>
    <t>Up to 120 Hz</t>
  </si>
  <si>
    <t>28 µHz/Hz + 0.0016 Hz</t>
  </si>
  <si>
    <t>28.0</t>
  </si>
  <si>
    <t>µHz/Hz</t>
  </si>
  <si>
    <t>(0.12 to 1.2) kHz</t>
  </si>
  <si>
    <t>25 µHz/Hz + 0.0077 Hz</t>
  </si>
  <si>
    <t>25.0</t>
  </si>
  <si>
    <t>(1.2 to 12) kHz</t>
  </si>
  <si>
    <t>25 µHz/Hz + 0.071 Hz</t>
  </si>
  <si>
    <t>(12 to 120) kHz</t>
  </si>
  <si>
    <t>29 µHz/Hz + 18 Hz</t>
  </si>
  <si>
    <t>29.0</t>
  </si>
  <si>
    <t>(0.12 to 1.2) MHz</t>
  </si>
  <si>
    <t>29 µHz/Hz + 20 Hz</t>
  </si>
  <si>
    <t>(1.2 to 2) MHz</t>
  </si>
  <si>
    <t>0.020 % rdg</t>
  </si>
  <si>
    <t>Timers, Stopwatches</t>
  </si>
  <si>
    <t>15 s to 10 min</t>
  </si>
  <si>
    <t>0.038 s + 0.0025 % of timed interval</t>
  </si>
  <si>
    <t>Reference stopwatch</t>
  </si>
  <si>
    <t>s</t>
  </si>
  <si>
    <t>min</t>
  </si>
  <si>
    <t>0.038</t>
  </si>
  <si>
    <t>% of timed interval</t>
  </si>
  <si>
    <t>10 min to 24 hrs</t>
  </si>
  <si>
    <t>0.038 s + 0.0041 % of timed interval</t>
  </si>
  <si>
    <t>24</t>
  </si>
  <si>
    <t>hrs</t>
  </si>
  <si>
    <t>(2 to 24) hrs</t>
  </si>
  <si>
    <t>0.038 s</t>
  </si>
  <si>
    <t>WWV signal</t>
  </si>
  <si>
    <t>Column1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</si>
</sst>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NumberFormat="1"/>
  </cellXfs>
  <cellStyles count="1">
    <cellStyle name="Normal" xfId="0" builtinId="0"/>
  </cellStyles>
  <dxfs count="1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E663D72-E633-47C4-9FFB-9C0C62797213}" autoFormatId="16" applyNumberFormats="0" applyBorderFormats="0" applyFontFormats="0" applyPatternFormats="0" applyAlignmentFormats="0" applyWidthHeightFormats="0">
  <queryTableRefresh nextId="20" unboundColumnsRight="1">
    <queryTableFields count="19">
      <queryTableField id="1" name="Equipment" tableColumnId="1"/>
      <queryTableField id="2" name="Parameter" tableColumnId="2"/>
      <queryTableField id="3" name="Range" tableColumnId="3"/>
      <queryTableField id="4" name="Frequency" tableColumnId="4"/>
      <queryTableField id="5" name="CMC (±)" tableColumnId="5"/>
      <queryTableField id="6" name="Comments" tableColumnId="6"/>
      <queryTableField id="7" name="range_min" tableColumnId="7"/>
      <queryTableField id="8" name="range_min_unit" tableColumnId="8"/>
      <queryTableField id="9" name="range_max" tableColumnId="9"/>
      <queryTableField id="10" name="range_max_unit" tableColumnId="10"/>
      <queryTableField id="11" name="frequency_range_min" tableColumnId="11"/>
      <queryTableField id="12" name="frequency_range_min_unit" tableColumnId="12"/>
      <queryTableField id="13" name="frequency_range_max" tableColumnId="13"/>
      <queryTableField id="14" name="frequency_range_max_unit" tableColumnId="14"/>
      <queryTableField id="15" name="cmc_base" tableColumnId="15"/>
      <queryTableField id="16" name="cmc_multiplier" tableColumnId="16"/>
      <queryTableField id="17" name="cmc_mult_unit" tableColumnId="17"/>
      <queryTableField id="18" name="cmc_uncertainty_unit" tableColumnId="18"/>
      <queryTableField id="19" dataBound="0" tableColumnId="1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A25199B-C536-49EF-8AEA-C9911FB3A2CC}" name="cmc_parsed" displayName="cmc_parsed" ref="A1:S563" tableType="queryTable" totalsRowShown="0">
  <autoFilter ref="A1:S563" xr:uid="{AA25199B-C536-49EF-8AEA-C9911FB3A2CC}"/>
  <tableColumns count="19">
    <tableColumn id="1" xr3:uid="{A5517E41-2018-4FC5-A2AB-EEA1446601D1}" uniqueName="1" name="Equipment" queryTableFieldId="1" dataDxfId="15"/>
    <tableColumn id="2" xr3:uid="{5929DF18-AFA8-4F28-AB89-370F7E635841}" uniqueName="2" name="Parameter" queryTableFieldId="2" dataDxfId="14"/>
    <tableColumn id="3" xr3:uid="{78B1233E-9DCA-4390-9FF7-F32AB535240A}" uniqueName="3" name="Range" queryTableFieldId="3" dataDxfId="13"/>
    <tableColumn id="4" xr3:uid="{9D350E9C-AE3D-4A77-9CCF-A5F88305AC68}" uniqueName="4" name="Frequency" queryTableFieldId="4" dataDxfId="12"/>
    <tableColumn id="5" xr3:uid="{FF9E8A4D-2222-45FE-A729-E4F875C750DF}" uniqueName="5" name="CMC (±)" queryTableFieldId="5" dataDxfId="11"/>
    <tableColumn id="6" xr3:uid="{876AFC3A-D07E-4B8A-9034-49015CBFC6DE}" uniqueName="6" name="Comments" queryTableFieldId="6" dataDxfId="10"/>
    <tableColumn id="7" xr3:uid="{4726CBC1-2359-41FC-8C38-54059D719E96}" uniqueName="7" name="range_min" queryTableFieldId="7" dataDxfId="9"/>
    <tableColumn id="8" xr3:uid="{3E87211E-5BD2-4469-A8E6-50DE37018933}" uniqueName="8" name="range_min_unit" queryTableFieldId="8" dataDxfId="8"/>
    <tableColumn id="9" xr3:uid="{6051E1D3-9A2E-4233-8D38-B9026B5F1DAA}" uniqueName="9" name="range_max" queryTableFieldId="9" dataDxfId="7"/>
    <tableColumn id="10" xr3:uid="{41EE5AE1-5D99-40DB-A13E-2624285B1262}" uniqueName="10" name="range_max_unit" queryTableFieldId="10" dataDxfId="6"/>
    <tableColumn id="11" xr3:uid="{2242F2E6-910E-43FD-AAE8-3D059BE5C822}" uniqueName="11" name="frequency_range_min" queryTableFieldId="11"/>
    <tableColumn id="12" xr3:uid="{12E4581A-8A90-4F29-A49E-2BD9FDA1929C}" uniqueName="12" name="frequency_range_min_unit" queryTableFieldId="12" dataDxfId="5"/>
    <tableColumn id="13" xr3:uid="{8D9B7D3F-942A-448E-A407-EF081DC9DA11}" uniqueName="13" name="frequency_range_max" queryTableFieldId="13"/>
    <tableColumn id="14" xr3:uid="{970B081D-F444-4B89-BDAC-99456FFB55CE}" uniqueName="14" name="frequency_range_max_unit" queryTableFieldId="14" dataDxfId="4"/>
    <tableColumn id="15" xr3:uid="{DDDAB30D-BFC3-45E3-9B3B-0C03CC34F747}" uniqueName="15" name="cmc_base" queryTableFieldId="15" dataDxfId="3"/>
    <tableColumn id="16" xr3:uid="{162FC0D3-6422-4ADA-8CAA-1D733F2A55B2}" uniqueName="16" name="cmc_multiplier" queryTableFieldId="16"/>
    <tableColumn id="17" xr3:uid="{99612765-A998-4774-9437-05AED6B50F4B}" uniqueName="17" name="cmc_mult_unit" queryTableFieldId="17" dataDxfId="2"/>
    <tableColumn id="18" xr3:uid="{76C1256A-148D-4907-B558-3904D8AEF8E5}" uniqueName="18" name="cmc_uncertainty_unit" queryTableFieldId="18" dataDxfId="1"/>
    <tableColumn id="19" xr3:uid="{95CB7B57-296D-4925-B749-DA54F13ACCC3}" uniqueName="19" name="Column1" queryTableFieldId="19" dataDxfId="0">
      <calculatedColumnFormula>RAND()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E9094E-473D-4C86-947D-7F66CBA4C156}">
  <sheetPr codeName="Sheet2"/>
  <dimension ref="A1:U563"/>
  <sheetViews>
    <sheetView tabSelected="1" workbookViewId="0">
      <selection activeCell="B576" sqref="B576"/>
    </sheetView>
  </sheetViews>
  <sheetFormatPr defaultRowHeight="15" x14ac:dyDescent="0.25"/>
  <cols>
    <col min="1" max="1" width="72" bestFit="1" customWidth="1"/>
    <col min="2" max="2" width="32.7109375" bestFit="1" customWidth="1"/>
    <col min="3" max="3" width="20.42578125" bestFit="1" customWidth="1"/>
    <col min="4" max="4" width="15.42578125" bestFit="1" customWidth="1"/>
    <col min="5" max="5" width="31.7109375" bestFit="1" customWidth="1"/>
    <col min="6" max="6" width="78.7109375" bestFit="1" customWidth="1"/>
    <col min="7" max="7" width="12.5703125" bestFit="1" customWidth="1"/>
    <col min="8" max="8" width="17.140625" bestFit="1" customWidth="1"/>
    <col min="9" max="9" width="12.85546875" bestFit="1" customWidth="1"/>
    <col min="10" max="10" width="17.42578125" bestFit="1" customWidth="1"/>
    <col min="11" max="11" width="22.85546875" bestFit="1" customWidth="1"/>
    <col min="12" max="12" width="27.42578125" bestFit="1" customWidth="1"/>
    <col min="13" max="13" width="23.140625" bestFit="1" customWidth="1"/>
    <col min="14" max="14" width="27.85546875" bestFit="1" customWidth="1"/>
    <col min="15" max="15" width="12.140625" bestFit="1" customWidth="1"/>
    <col min="16" max="16" width="16.85546875" bestFit="1" customWidth="1"/>
    <col min="17" max="17" width="16.5703125" bestFit="1" customWidth="1"/>
    <col min="18" max="18" width="22.85546875" bestFit="1" customWidth="1"/>
    <col min="19" max="19" width="12" bestFit="1" customWidth="1"/>
  </cols>
  <sheetData>
    <row r="1" spans="1:2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1382</v>
      </c>
      <c r="U1" t="str">
        <f>_xlfn.TEXTJOIN("', '",TRUE,cmc_parsed[[#Headers],[Equipment]:[cmc_uncertainty_unit]])</f>
        <v>Equipment', 'Parameter', 'Range', 'Frequency', 'CMC (±)', 'Comments', 'range_min', 'range_min_unit', 'range_max', 'range_max_unit', 'frequency_range_min', 'frequency_range_min_unit', 'frequency_range_max', 'frequency_range_max_unit', 'cmc_base', 'cmc_multiplier', 'cmc_mult_unit', 'cmc_uncertainty_unit</v>
      </c>
    </row>
    <row r="2" spans="1:21" x14ac:dyDescent="0.25">
      <c r="A2" s="1" t="s">
        <v>18</v>
      </c>
      <c r="B2" s="1" t="s">
        <v>19</v>
      </c>
      <c r="C2" s="1" t="s">
        <v>20</v>
      </c>
      <c r="D2" s="1" t="s">
        <v>21</v>
      </c>
      <c r="E2" s="1" t="s">
        <v>22</v>
      </c>
      <c r="F2" s="1" t="s">
        <v>23</v>
      </c>
      <c r="G2" s="1" t="s">
        <v>21</v>
      </c>
      <c r="H2" s="1" t="s">
        <v>21</v>
      </c>
      <c r="I2" s="1" t="s">
        <v>24</v>
      </c>
      <c r="J2" s="1" t="s">
        <v>25</v>
      </c>
      <c r="L2" s="1" t="s">
        <v>21</v>
      </c>
      <c r="N2" s="1" t="s">
        <v>21</v>
      </c>
      <c r="O2" s="1" t="s">
        <v>26</v>
      </c>
      <c r="P2">
        <v>2.2999999999999998</v>
      </c>
      <c r="Q2" s="1" t="s">
        <v>27</v>
      </c>
      <c r="R2" s="1" t="s">
        <v>28</v>
      </c>
      <c r="S2" s="1">
        <f t="shared" ref="S2:S65" ca="1" si="0">RAND()</f>
        <v>0.96052075500315193</v>
      </c>
    </row>
    <row r="3" spans="1:21" x14ac:dyDescent="0.25">
      <c r="A3" s="1" t="s">
        <v>18</v>
      </c>
      <c r="B3" s="1" t="s">
        <v>29</v>
      </c>
      <c r="C3" s="1" t="s">
        <v>30</v>
      </c>
      <c r="D3" s="1" t="s">
        <v>21</v>
      </c>
      <c r="E3" s="1" t="s">
        <v>31</v>
      </c>
      <c r="F3" s="1" t="s">
        <v>32</v>
      </c>
      <c r="G3" s="1" t="s">
        <v>21</v>
      </c>
      <c r="H3" s="1" t="s">
        <v>21</v>
      </c>
      <c r="I3" s="1" t="s">
        <v>33</v>
      </c>
      <c r="J3" s="1" t="s">
        <v>25</v>
      </c>
      <c r="L3" s="1" t="s">
        <v>21</v>
      </c>
      <c r="N3" s="1" t="s">
        <v>21</v>
      </c>
      <c r="O3" s="1" t="s">
        <v>34</v>
      </c>
      <c r="P3">
        <v>2.2999999999999998</v>
      </c>
      <c r="Q3" s="1" t="s">
        <v>27</v>
      </c>
      <c r="R3" s="1" t="s">
        <v>28</v>
      </c>
      <c r="S3" s="1">
        <f t="shared" ca="1" si="0"/>
        <v>0.52239964179000076</v>
      </c>
    </row>
    <row r="4" spans="1:21" x14ac:dyDescent="0.25">
      <c r="A4" s="1" t="s">
        <v>35</v>
      </c>
      <c r="B4" s="1" t="s">
        <v>21</v>
      </c>
      <c r="C4" s="1" t="s">
        <v>36</v>
      </c>
      <c r="D4" s="1" t="s">
        <v>21</v>
      </c>
      <c r="E4" s="1" t="s">
        <v>37</v>
      </c>
      <c r="F4" s="1" t="s">
        <v>38</v>
      </c>
      <c r="G4" s="1" t="s">
        <v>21</v>
      </c>
      <c r="H4" s="1" t="s">
        <v>21</v>
      </c>
      <c r="I4" s="1" t="s">
        <v>39</v>
      </c>
      <c r="J4" s="1" t="s">
        <v>25</v>
      </c>
      <c r="L4" s="1" t="s">
        <v>21</v>
      </c>
      <c r="N4" s="1" t="s">
        <v>21</v>
      </c>
      <c r="O4" s="1" t="s">
        <v>40</v>
      </c>
      <c r="P4">
        <v>10</v>
      </c>
      <c r="Q4" s="1" t="s">
        <v>27</v>
      </c>
      <c r="R4" s="1" t="s">
        <v>28</v>
      </c>
      <c r="S4" s="1">
        <f t="shared" ca="1" si="0"/>
        <v>0.18063427343964233</v>
      </c>
    </row>
    <row r="5" spans="1:21" x14ac:dyDescent="0.25">
      <c r="A5" s="1" t="s">
        <v>41</v>
      </c>
      <c r="B5" s="1" t="s">
        <v>42</v>
      </c>
      <c r="C5" s="1" t="s">
        <v>43</v>
      </c>
      <c r="D5" s="1" t="s">
        <v>21</v>
      </c>
      <c r="E5" s="1" t="s">
        <v>44</v>
      </c>
      <c r="F5" s="1" t="s">
        <v>45</v>
      </c>
      <c r="G5" s="1" t="s">
        <v>21</v>
      </c>
      <c r="H5" s="1" t="s">
        <v>21</v>
      </c>
      <c r="I5" s="1" t="s">
        <v>46</v>
      </c>
      <c r="J5" s="1" t="s">
        <v>25</v>
      </c>
      <c r="L5" s="1" t="s">
        <v>21</v>
      </c>
      <c r="N5" s="1" t="s">
        <v>21</v>
      </c>
      <c r="O5" s="1" t="s">
        <v>47</v>
      </c>
      <c r="P5">
        <v>5.0999999999999996</v>
      </c>
      <c r="Q5" s="1" t="s">
        <v>48</v>
      </c>
      <c r="R5" s="1" t="s">
        <v>28</v>
      </c>
      <c r="S5" s="1">
        <f t="shared" ca="1" si="0"/>
        <v>0.61647196212944133</v>
      </c>
    </row>
    <row r="6" spans="1:21" x14ac:dyDescent="0.25">
      <c r="A6" s="1" t="s">
        <v>41</v>
      </c>
      <c r="B6" s="1" t="s">
        <v>42</v>
      </c>
      <c r="C6" s="1" t="s">
        <v>49</v>
      </c>
      <c r="D6" s="1" t="s">
        <v>21</v>
      </c>
      <c r="E6" s="1" t="s">
        <v>50</v>
      </c>
      <c r="F6" s="1" t="s">
        <v>51</v>
      </c>
      <c r="G6" s="1" t="s">
        <v>21</v>
      </c>
      <c r="H6" s="1" t="s">
        <v>21</v>
      </c>
      <c r="I6" s="1" t="s">
        <v>52</v>
      </c>
      <c r="J6" s="1" t="s">
        <v>25</v>
      </c>
      <c r="L6" s="1" t="s">
        <v>21</v>
      </c>
      <c r="N6" s="1" t="s">
        <v>21</v>
      </c>
      <c r="O6" s="1" t="s">
        <v>53</v>
      </c>
      <c r="P6">
        <v>3.8</v>
      </c>
      <c r="Q6" s="1" t="s">
        <v>48</v>
      </c>
      <c r="R6" s="1" t="s">
        <v>28</v>
      </c>
      <c r="S6" s="1">
        <f t="shared" ca="1" si="0"/>
        <v>0.54554762361737852</v>
      </c>
    </row>
    <row r="7" spans="1:21" x14ac:dyDescent="0.25">
      <c r="A7" s="1" t="s">
        <v>41</v>
      </c>
      <c r="B7" s="1" t="s">
        <v>42</v>
      </c>
      <c r="C7" s="1" t="s">
        <v>54</v>
      </c>
      <c r="D7" s="1" t="s">
        <v>21</v>
      </c>
      <c r="E7" s="1" t="s">
        <v>55</v>
      </c>
      <c r="F7" s="1" t="s">
        <v>56</v>
      </c>
      <c r="G7" s="1" t="s">
        <v>21</v>
      </c>
      <c r="H7" s="1" t="s">
        <v>21</v>
      </c>
      <c r="I7" s="1" t="s">
        <v>57</v>
      </c>
      <c r="J7" s="1" t="s">
        <v>25</v>
      </c>
      <c r="L7" s="1" t="s">
        <v>21</v>
      </c>
      <c r="N7" s="1" t="s">
        <v>21</v>
      </c>
      <c r="O7" s="1" t="s">
        <v>58</v>
      </c>
      <c r="P7">
        <v>1.2</v>
      </c>
      <c r="Q7" s="1" t="s">
        <v>48</v>
      </c>
      <c r="R7" s="1" t="s">
        <v>28</v>
      </c>
      <c r="S7" s="1">
        <f t="shared" ca="1" si="0"/>
        <v>0.86796008353365806</v>
      </c>
    </row>
    <row r="8" spans="1:21" x14ac:dyDescent="0.25">
      <c r="A8" s="1" t="s">
        <v>41</v>
      </c>
      <c r="B8" s="1" t="s">
        <v>59</v>
      </c>
      <c r="C8" s="1" t="s">
        <v>60</v>
      </c>
      <c r="D8" s="1" t="s">
        <v>21</v>
      </c>
      <c r="E8" s="1" t="s">
        <v>61</v>
      </c>
      <c r="F8" s="1" t="s">
        <v>62</v>
      </c>
      <c r="G8" s="1" t="s">
        <v>63</v>
      </c>
      <c r="H8" s="1" t="s">
        <v>64</v>
      </c>
      <c r="I8" s="1" t="s">
        <v>65</v>
      </c>
      <c r="J8" s="1" t="s">
        <v>64</v>
      </c>
      <c r="L8" s="1" t="s">
        <v>21</v>
      </c>
      <c r="N8" s="1" t="s">
        <v>21</v>
      </c>
      <c r="O8" s="1" t="s">
        <v>46</v>
      </c>
      <c r="P8">
        <v>0</v>
      </c>
      <c r="Q8" s="1" t="s">
        <v>21</v>
      </c>
      <c r="R8" s="1" t="s">
        <v>28</v>
      </c>
      <c r="S8" s="1">
        <f t="shared" ca="1" si="0"/>
        <v>0.18361610571543552</v>
      </c>
    </row>
    <row r="9" spans="1:21" x14ac:dyDescent="0.25">
      <c r="A9" s="1" t="s">
        <v>66</v>
      </c>
      <c r="B9" s="1" t="s">
        <v>21</v>
      </c>
      <c r="C9" s="1" t="s">
        <v>67</v>
      </c>
      <c r="D9" s="1" t="s">
        <v>21</v>
      </c>
      <c r="E9" s="1" t="s">
        <v>68</v>
      </c>
      <c r="F9" s="1" t="s">
        <v>69</v>
      </c>
      <c r="G9" s="1" t="s">
        <v>21</v>
      </c>
      <c r="H9" s="1" t="s">
        <v>21</v>
      </c>
      <c r="I9" s="1" t="s">
        <v>70</v>
      </c>
      <c r="J9" s="1" t="s">
        <v>25</v>
      </c>
      <c r="L9" s="1" t="s">
        <v>21</v>
      </c>
      <c r="N9" s="1" t="s">
        <v>21</v>
      </c>
      <c r="O9" s="1" t="s">
        <v>70</v>
      </c>
      <c r="P9">
        <v>0</v>
      </c>
      <c r="Q9" s="1" t="s">
        <v>21</v>
      </c>
      <c r="R9" s="1" t="s">
        <v>28</v>
      </c>
      <c r="S9" s="1">
        <f t="shared" ca="1" si="0"/>
        <v>0.7162553036404834</v>
      </c>
    </row>
    <row r="10" spans="1:21" x14ac:dyDescent="0.25">
      <c r="A10" s="1" t="s">
        <v>71</v>
      </c>
      <c r="B10" s="1" t="s">
        <v>21</v>
      </c>
      <c r="C10" s="1" t="s">
        <v>72</v>
      </c>
      <c r="D10" s="1" t="s">
        <v>21</v>
      </c>
      <c r="E10" s="1" t="s">
        <v>73</v>
      </c>
      <c r="F10" s="1" t="s">
        <v>74</v>
      </c>
      <c r="G10" s="1" t="s">
        <v>21</v>
      </c>
      <c r="H10" s="1" t="s">
        <v>21</v>
      </c>
      <c r="I10" s="1" t="s">
        <v>75</v>
      </c>
      <c r="J10" s="1" t="s">
        <v>25</v>
      </c>
      <c r="L10" s="1" t="s">
        <v>21</v>
      </c>
      <c r="N10" s="1" t="s">
        <v>21</v>
      </c>
      <c r="O10" s="1" t="s">
        <v>76</v>
      </c>
      <c r="P10">
        <v>0</v>
      </c>
      <c r="Q10" s="1" t="s">
        <v>21</v>
      </c>
      <c r="R10" s="1" t="s">
        <v>77</v>
      </c>
      <c r="S10" s="1">
        <f t="shared" ca="1" si="0"/>
        <v>0.85988494649014346</v>
      </c>
    </row>
    <row r="11" spans="1:21" x14ac:dyDescent="0.25">
      <c r="A11" s="1" t="s">
        <v>78</v>
      </c>
      <c r="B11" s="1" t="s">
        <v>79</v>
      </c>
      <c r="C11" s="1" t="s">
        <v>80</v>
      </c>
      <c r="D11" s="1" t="s">
        <v>21</v>
      </c>
      <c r="E11" s="1" t="s">
        <v>81</v>
      </c>
      <c r="F11" s="1" t="s">
        <v>82</v>
      </c>
      <c r="G11" s="1" t="s">
        <v>21</v>
      </c>
      <c r="H11" s="1" t="s">
        <v>21</v>
      </c>
      <c r="I11" s="1" t="s">
        <v>80</v>
      </c>
      <c r="J11" s="1" t="s">
        <v>80</v>
      </c>
      <c r="L11" s="1" t="s">
        <v>21</v>
      </c>
      <c r="N11" s="1" t="s">
        <v>21</v>
      </c>
      <c r="O11" s="1" t="s">
        <v>83</v>
      </c>
      <c r="P11">
        <v>0</v>
      </c>
      <c r="Q11" s="1" t="s">
        <v>21</v>
      </c>
      <c r="R11" s="1" t="s">
        <v>28</v>
      </c>
      <c r="S11" s="1">
        <f t="shared" ca="1" si="0"/>
        <v>1.0816026784590038E-2</v>
      </c>
    </row>
    <row r="12" spans="1:21" x14ac:dyDescent="0.25">
      <c r="A12" s="1" t="s">
        <v>78</v>
      </c>
      <c r="B12" s="1" t="s">
        <v>84</v>
      </c>
      <c r="C12" s="1" t="s">
        <v>80</v>
      </c>
      <c r="D12" s="1" t="s">
        <v>21</v>
      </c>
      <c r="E12" s="1" t="s">
        <v>85</v>
      </c>
      <c r="F12" s="1" t="s">
        <v>86</v>
      </c>
      <c r="G12" s="1" t="s">
        <v>21</v>
      </c>
      <c r="H12" s="1" t="s">
        <v>21</v>
      </c>
      <c r="I12" s="1" t="s">
        <v>80</v>
      </c>
      <c r="J12" s="1" t="s">
        <v>80</v>
      </c>
      <c r="L12" s="1" t="s">
        <v>21</v>
      </c>
      <c r="N12" s="1" t="s">
        <v>21</v>
      </c>
      <c r="O12" s="1" t="s">
        <v>87</v>
      </c>
      <c r="P12">
        <v>0</v>
      </c>
      <c r="Q12" s="1" t="s">
        <v>21</v>
      </c>
      <c r="R12" s="1" t="s">
        <v>28</v>
      </c>
      <c r="S12" s="1">
        <f t="shared" ca="1" si="0"/>
        <v>0.18229859397713688</v>
      </c>
    </row>
    <row r="13" spans="1:21" x14ac:dyDescent="0.25">
      <c r="A13" s="1" t="s">
        <v>78</v>
      </c>
      <c r="B13" s="1" t="s">
        <v>88</v>
      </c>
      <c r="C13" s="1" t="s">
        <v>89</v>
      </c>
      <c r="D13" s="1" t="s">
        <v>21</v>
      </c>
      <c r="E13" s="1" t="s">
        <v>90</v>
      </c>
      <c r="F13" s="1" t="s">
        <v>91</v>
      </c>
      <c r="G13" s="1" t="s">
        <v>21</v>
      </c>
      <c r="H13" s="1" t="s">
        <v>21</v>
      </c>
      <c r="I13" s="1" t="s">
        <v>92</v>
      </c>
      <c r="J13" s="1" t="s">
        <v>93</v>
      </c>
      <c r="L13" s="1" t="s">
        <v>21</v>
      </c>
      <c r="N13" s="1" t="s">
        <v>21</v>
      </c>
      <c r="O13" s="1" t="s">
        <v>94</v>
      </c>
      <c r="P13">
        <v>0.2</v>
      </c>
      <c r="Q13" s="1" t="s">
        <v>48</v>
      </c>
      <c r="R13" s="1" t="s">
        <v>28</v>
      </c>
      <c r="S13" s="1">
        <f t="shared" ca="1" si="0"/>
        <v>0.20293026557781557</v>
      </c>
    </row>
    <row r="14" spans="1:21" x14ac:dyDescent="0.25">
      <c r="A14" s="1" t="s">
        <v>95</v>
      </c>
      <c r="B14" s="1" t="s">
        <v>96</v>
      </c>
      <c r="C14" s="1" t="s">
        <v>80</v>
      </c>
      <c r="D14" s="1" t="s">
        <v>21</v>
      </c>
      <c r="E14" s="1" t="s">
        <v>97</v>
      </c>
      <c r="F14" s="1" t="s">
        <v>98</v>
      </c>
      <c r="G14" s="1" t="s">
        <v>21</v>
      </c>
      <c r="H14" s="1" t="s">
        <v>21</v>
      </c>
      <c r="I14" s="1" t="s">
        <v>80</v>
      </c>
      <c r="J14" s="1" t="s">
        <v>80</v>
      </c>
      <c r="L14" s="1" t="s">
        <v>21</v>
      </c>
      <c r="N14" s="1" t="s">
        <v>21</v>
      </c>
      <c r="O14" s="1" t="s">
        <v>99</v>
      </c>
      <c r="P14">
        <v>0</v>
      </c>
      <c r="Q14" s="1" t="s">
        <v>21</v>
      </c>
      <c r="R14" s="1" t="s">
        <v>28</v>
      </c>
      <c r="S14" s="1">
        <f t="shared" ca="1" si="0"/>
        <v>0.10581606579445979</v>
      </c>
    </row>
    <row r="15" spans="1:21" x14ac:dyDescent="0.25">
      <c r="A15" s="1" t="s">
        <v>95</v>
      </c>
      <c r="B15" s="1" t="s">
        <v>100</v>
      </c>
      <c r="C15" s="1" t="s">
        <v>101</v>
      </c>
      <c r="D15" s="1" t="s">
        <v>21</v>
      </c>
      <c r="E15" s="1" t="s">
        <v>102</v>
      </c>
      <c r="F15" s="1" t="s">
        <v>98</v>
      </c>
      <c r="G15" s="1" t="s">
        <v>21</v>
      </c>
      <c r="H15" s="1" t="s">
        <v>21</v>
      </c>
      <c r="I15" s="1" t="s">
        <v>103</v>
      </c>
      <c r="J15" s="1" t="s">
        <v>104</v>
      </c>
      <c r="L15" s="1" t="s">
        <v>21</v>
      </c>
      <c r="N15" s="1" t="s">
        <v>21</v>
      </c>
      <c r="O15" s="1" t="s">
        <v>105</v>
      </c>
      <c r="P15">
        <v>1.7</v>
      </c>
      <c r="Q15" s="1" t="s">
        <v>48</v>
      </c>
      <c r="R15" s="1" t="s">
        <v>28</v>
      </c>
      <c r="S15" s="1">
        <f t="shared" ca="1" si="0"/>
        <v>0.68663201933399198</v>
      </c>
    </row>
    <row r="16" spans="1:21" x14ac:dyDescent="0.25">
      <c r="A16" s="1" t="s">
        <v>95</v>
      </c>
      <c r="B16" s="1" t="s">
        <v>106</v>
      </c>
      <c r="C16" s="1" t="s">
        <v>101</v>
      </c>
      <c r="D16" s="1" t="s">
        <v>21</v>
      </c>
      <c r="E16" s="1" t="s">
        <v>107</v>
      </c>
      <c r="F16" s="1" t="s">
        <v>108</v>
      </c>
      <c r="G16" s="1" t="s">
        <v>21</v>
      </c>
      <c r="H16" s="1" t="s">
        <v>21</v>
      </c>
      <c r="I16" s="1" t="s">
        <v>103</v>
      </c>
      <c r="J16" s="1" t="s">
        <v>104</v>
      </c>
      <c r="L16" s="1" t="s">
        <v>21</v>
      </c>
      <c r="N16" s="1" t="s">
        <v>21</v>
      </c>
      <c r="O16" s="1" t="s">
        <v>109</v>
      </c>
      <c r="P16">
        <v>0</v>
      </c>
      <c r="Q16" s="1" t="s">
        <v>21</v>
      </c>
      <c r="R16" s="1" t="s">
        <v>28</v>
      </c>
      <c r="S16" s="1">
        <f t="shared" ca="1" si="0"/>
        <v>0.83358739162315276</v>
      </c>
    </row>
    <row r="17" spans="1:19" x14ac:dyDescent="0.25">
      <c r="A17" s="1" t="s">
        <v>95</v>
      </c>
      <c r="B17" s="1" t="s">
        <v>110</v>
      </c>
      <c r="C17" s="1" t="s">
        <v>101</v>
      </c>
      <c r="D17" s="1" t="s">
        <v>21</v>
      </c>
      <c r="E17" s="1" t="s">
        <v>85</v>
      </c>
      <c r="F17" s="1" t="s">
        <v>108</v>
      </c>
      <c r="G17" s="1" t="s">
        <v>21</v>
      </c>
      <c r="H17" s="1" t="s">
        <v>21</v>
      </c>
      <c r="I17" s="1" t="s">
        <v>103</v>
      </c>
      <c r="J17" s="1" t="s">
        <v>104</v>
      </c>
      <c r="L17" s="1" t="s">
        <v>21</v>
      </c>
      <c r="N17" s="1" t="s">
        <v>21</v>
      </c>
      <c r="O17" s="1" t="s">
        <v>87</v>
      </c>
      <c r="P17">
        <v>0</v>
      </c>
      <c r="Q17" s="1" t="s">
        <v>21</v>
      </c>
      <c r="R17" s="1" t="s">
        <v>28</v>
      </c>
      <c r="S17" s="1">
        <f t="shared" ca="1" si="0"/>
        <v>0.32249545148612602</v>
      </c>
    </row>
    <row r="18" spans="1:19" x14ac:dyDescent="0.25">
      <c r="A18" s="1" t="s">
        <v>95</v>
      </c>
      <c r="B18" s="1" t="s">
        <v>111</v>
      </c>
      <c r="C18" s="1" t="s">
        <v>101</v>
      </c>
      <c r="D18" s="1" t="s">
        <v>21</v>
      </c>
      <c r="E18" s="1" t="s">
        <v>112</v>
      </c>
      <c r="F18" s="1" t="s">
        <v>98</v>
      </c>
      <c r="G18" s="1" t="s">
        <v>21</v>
      </c>
      <c r="H18" s="1" t="s">
        <v>21</v>
      </c>
      <c r="I18" s="1" t="s">
        <v>103</v>
      </c>
      <c r="J18" s="1" t="s">
        <v>104</v>
      </c>
      <c r="L18" s="1" t="s">
        <v>21</v>
      </c>
      <c r="N18" s="1" t="s">
        <v>21</v>
      </c>
      <c r="O18" s="1" t="s">
        <v>113</v>
      </c>
      <c r="P18">
        <v>0</v>
      </c>
      <c r="Q18" s="1" t="s">
        <v>21</v>
      </c>
      <c r="R18" s="1" t="s">
        <v>28</v>
      </c>
      <c r="S18" s="1">
        <f t="shared" ca="1" si="0"/>
        <v>0.47680137724393423</v>
      </c>
    </row>
    <row r="19" spans="1:19" x14ac:dyDescent="0.25">
      <c r="A19" s="1" t="s">
        <v>114</v>
      </c>
      <c r="B19" s="1" t="s">
        <v>21</v>
      </c>
      <c r="C19" s="1" t="s">
        <v>115</v>
      </c>
      <c r="D19" s="1" t="s">
        <v>21</v>
      </c>
      <c r="E19" s="1" t="s">
        <v>116</v>
      </c>
      <c r="F19" s="1" t="s">
        <v>117</v>
      </c>
      <c r="G19" s="1" t="s">
        <v>21</v>
      </c>
      <c r="H19" s="1" t="s">
        <v>21</v>
      </c>
      <c r="I19" s="1" t="s">
        <v>118</v>
      </c>
      <c r="J19" s="1" t="s">
        <v>25</v>
      </c>
      <c r="L19" s="1" t="s">
        <v>21</v>
      </c>
      <c r="N19" s="1" t="s">
        <v>21</v>
      </c>
      <c r="O19" s="1" t="s">
        <v>24</v>
      </c>
      <c r="P19">
        <v>0</v>
      </c>
      <c r="Q19" s="1" t="s">
        <v>21</v>
      </c>
      <c r="R19" s="1" t="s">
        <v>28</v>
      </c>
      <c r="S19" s="1">
        <f t="shared" ca="1" si="0"/>
        <v>0.40752526583555393</v>
      </c>
    </row>
    <row r="20" spans="1:19" x14ac:dyDescent="0.25">
      <c r="A20" s="1" t="s">
        <v>114</v>
      </c>
      <c r="B20" s="1" t="s">
        <v>21</v>
      </c>
      <c r="C20" s="1" t="s">
        <v>119</v>
      </c>
      <c r="D20" s="1" t="s">
        <v>21</v>
      </c>
      <c r="E20" s="1" t="s">
        <v>120</v>
      </c>
      <c r="F20" s="1" t="s">
        <v>117</v>
      </c>
      <c r="G20" s="1" t="s">
        <v>118</v>
      </c>
      <c r="H20" s="1" t="s">
        <v>25</v>
      </c>
      <c r="I20" s="1" t="s">
        <v>24</v>
      </c>
      <c r="J20" s="1" t="s">
        <v>25</v>
      </c>
      <c r="L20" s="1" t="s">
        <v>21</v>
      </c>
      <c r="N20" s="1" t="s">
        <v>21</v>
      </c>
      <c r="O20" s="1" t="s">
        <v>121</v>
      </c>
      <c r="P20">
        <v>1.4</v>
      </c>
      <c r="Q20" s="1" t="s">
        <v>48</v>
      </c>
      <c r="R20" s="1" t="s">
        <v>28</v>
      </c>
      <c r="S20" s="1">
        <f t="shared" ca="1" si="0"/>
        <v>0.57239242857767114</v>
      </c>
    </row>
    <row r="21" spans="1:19" x14ac:dyDescent="0.25">
      <c r="A21" s="1" t="s">
        <v>114</v>
      </c>
      <c r="B21" s="1" t="s">
        <v>21</v>
      </c>
      <c r="C21" s="1" t="s">
        <v>122</v>
      </c>
      <c r="D21" s="1" t="s">
        <v>21</v>
      </c>
      <c r="E21" s="1" t="s">
        <v>123</v>
      </c>
      <c r="F21" s="1" t="s">
        <v>117</v>
      </c>
      <c r="G21" s="1" t="s">
        <v>24</v>
      </c>
      <c r="H21" s="1" t="s">
        <v>25</v>
      </c>
      <c r="I21" s="1" t="s">
        <v>124</v>
      </c>
      <c r="J21" s="1" t="s">
        <v>25</v>
      </c>
      <c r="L21" s="1" t="s">
        <v>21</v>
      </c>
      <c r="N21" s="1" t="s">
        <v>21</v>
      </c>
      <c r="O21" s="1" t="s">
        <v>125</v>
      </c>
      <c r="P21">
        <v>1.4</v>
      </c>
      <c r="Q21" s="1" t="s">
        <v>48</v>
      </c>
      <c r="R21" s="1" t="s">
        <v>28</v>
      </c>
      <c r="S21" s="1">
        <f t="shared" ca="1" si="0"/>
        <v>0.96873301378992627</v>
      </c>
    </row>
    <row r="22" spans="1:19" x14ac:dyDescent="0.25">
      <c r="A22" s="1" t="s">
        <v>126</v>
      </c>
      <c r="B22" s="1" t="s">
        <v>127</v>
      </c>
      <c r="C22" s="1" t="s">
        <v>128</v>
      </c>
      <c r="D22" s="1" t="s">
        <v>21</v>
      </c>
      <c r="E22" s="1" t="s">
        <v>129</v>
      </c>
      <c r="F22" s="1" t="s">
        <v>32</v>
      </c>
      <c r="G22" s="1" t="s">
        <v>21</v>
      </c>
      <c r="H22" s="1" t="s">
        <v>21</v>
      </c>
      <c r="I22" s="1" t="s">
        <v>130</v>
      </c>
      <c r="J22" s="1" t="s">
        <v>25</v>
      </c>
      <c r="L22" s="1" t="s">
        <v>21</v>
      </c>
      <c r="N22" s="1" t="s">
        <v>21</v>
      </c>
      <c r="O22" s="1" t="s">
        <v>131</v>
      </c>
      <c r="P22">
        <v>2.7</v>
      </c>
      <c r="Q22" s="1" t="s">
        <v>48</v>
      </c>
      <c r="R22" s="1" t="s">
        <v>28</v>
      </c>
      <c r="S22" s="1">
        <f t="shared" ca="1" si="0"/>
        <v>0.62121149718505075</v>
      </c>
    </row>
    <row r="23" spans="1:19" x14ac:dyDescent="0.25">
      <c r="A23" s="1" t="s">
        <v>126</v>
      </c>
      <c r="B23" s="1" t="s">
        <v>132</v>
      </c>
      <c r="C23" s="1" t="s">
        <v>128</v>
      </c>
      <c r="D23" s="1" t="s">
        <v>21</v>
      </c>
      <c r="E23" s="1" t="s">
        <v>133</v>
      </c>
      <c r="F23" s="1" t="s">
        <v>32</v>
      </c>
      <c r="G23" s="1" t="s">
        <v>21</v>
      </c>
      <c r="H23" s="1" t="s">
        <v>21</v>
      </c>
      <c r="I23" s="1" t="s">
        <v>130</v>
      </c>
      <c r="J23" s="1" t="s">
        <v>25</v>
      </c>
      <c r="L23" s="1" t="s">
        <v>21</v>
      </c>
      <c r="N23" s="1" t="s">
        <v>21</v>
      </c>
      <c r="O23" s="1" t="s">
        <v>134</v>
      </c>
      <c r="P23">
        <v>0.25</v>
      </c>
      <c r="Q23" s="1" t="s">
        <v>48</v>
      </c>
      <c r="R23" s="1" t="s">
        <v>28</v>
      </c>
      <c r="S23" s="1">
        <f t="shared" ca="1" si="0"/>
        <v>0.88177729065423704</v>
      </c>
    </row>
    <row r="24" spans="1:19" x14ac:dyDescent="0.25">
      <c r="A24" s="1" t="s">
        <v>135</v>
      </c>
      <c r="B24" s="1" t="s">
        <v>21</v>
      </c>
      <c r="C24" s="1" t="s">
        <v>136</v>
      </c>
      <c r="D24" s="1" t="s">
        <v>21</v>
      </c>
      <c r="E24" s="1" t="s">
        <v>137</v>
      </c>
      <c r="F24" s="1" t="s">
        <v>138</v>
      </c>
      <c r="G24" s="1" t="s">
        <v>21</v>
      </c>
      <c r="H24" s="1" t="s">
        <v>21</v>
      </c>
      <c r="I24" s="1" t="s">
        <v>139</v>
      </c>
      <c r="J24" s="1" t="s">
        <v>25</v>
      </c>
      <c r="L24" s="1" t="s">
        <v>21</v>
      </c>
      <c r="N24" s="1" t="s">
        <v>21</v>
      </c>
      <c r="O24" s="1" t="s">
        <v>140</v>
      </c>
      <c r="P24">
        <v>2.4</v>
      </c>
      <c r="Q24" s="1" t="s">
        <v>48</v>
      </c>
      <c r="R24" s="1" t="s">
        <v>28</v>
      </c>
      <c r="S24" s="1">
        <f t="shared" ca="1" si="0"/>
        <v>0.44491734572897257</v>
      </c>
    </row>
    <row r="25" spans="1:19" x14ac:dyDescent="0.25">
      <c r="A25" s="1" t="s">
        <v>141</v>
      </c>
      <c r="B25" s="1" t="s">
        <v>21</v>
      </c>
      <c r="C25" s="1" t="s">
        <v>30</v>
      </c>
      <c r="D25" s="1" t="s">
        <v>21</v>
      </c>
      <c r="E25" s="1" t="s">
        <v>142</v>
      </c>
      <c r="F25" s="1" t="s">
        <v>32</v>
      </c>
      <c r="G25" s="1" t="s">
        <v>21</v>
      </c>
      <c r="H25" s="1" t="s">
        <v>21</v>
      </c>
      <c r="I25" s="1" t="s">
        <v>33</v>
      </c>
      <c r="J25" s="1" t="s">
        <v>25</v>
      </c>
      <c r="L25" s="1" t="s">
        <v>21</v>
      </c>
      <c r="N25" s="1" t="s">
        <v>21</v>
      </c>
      <c r="O25" s="1" t="s">
        <v>143</v>
      </c>
      <c r="P25">
        <v>2.5</v>
      </c>
      <c r="Q25" s="1" t="s">
        <v>48</v>
      </c>
      <c r="R25" s="1" t="s">
        <v>28</v>
      </c>
      <c r="S25" s="1">
        <f t="shared" ca="1" si="0"/>
        <v>0.70642263820098583</v>
      </c>
    </row>
    <row r="26" spans="1:19" x14ac:dyDescent="0.25">
      <c r="A26" s="1" t="s">
        <v>144</v>
      </c>
      <c r="B26" s="1" t="s">
        <v>21</v>
      </c>
      <c r="C26" s="1" t="s">
        <v>145</v>
      </c>
      <c r="D26" s="1" t="s">
        <v>21</v>
      </c>
      <c r="E26" s="1" t="s">
        <v>146</v>
      </c>
      <c r="F26" s="1" t="s">
        <v>147</v>
      </c>
      <c r="G26" s="1" t="s">
        <v>21</v>
      </c>
      <c r="H26" s="1" t="s">
        <v>21</v>
      </c>
      <c r="I26" s="1" t="s">
        <v>148</v>
      </c>
      <c r="J26" s="1" t="s">
        <v>25</v>
      </c>
      <c r="L26" s="1" t="s">
        <v>21</v>
      </c>
      <c r="N26" s="1" t="s">
        <v>21</v>
      </c>
      <c r="O26" s="1" t="s">
        <v>149</v>
      </c>
      <c r="P26">
        <v>7.4</v>
      </c>
      <c r="Q26" s="1" t="s">
        <v>48</v>
      </c>
      <c r="R26" s="1" t="s">
        <v>28</v>
      </c>
      <c r="S26" s="1">
        <f t="shared" ca="1" si="0"/>
        <v>0.10492825596556776</v>
      </c>
    </row>
    <row r="27" spans="1:19" x14ac:dyDescent="0.25">
      <c r="A27" s="1" t="s">
        <v>150</v>
      </c>
      <c r="B27" s="1" t="s">
        <v>21</v>
      </c>
      <c r="C27" s="1" t="s">
        <v>151</v>
      </c>
      <c r="D27" s="1" t="s">
        <v>21</v>
      </c>
      <c r="E27" s="1" t="s">
        <v>152</v>
      </c>
      <c r="F27" s="1" t="s">
        <v>153</v>
      </c>
      <c r="G27" s="1" t="s">
        <v>154</v>
      </c>
      <c r="H27" s="1" t="s">
        <v>155</v>
      </c>
      <c r="I27" s="1" t="s">
        <v>156</v>
      </c>
      <c r="J27" s="1" t="s">
        <v>155</v>
      </c>
      <c r="L27" s="1" t="s">
        <v>21</v>
      </c>
      <c r="N27" s="1" t="s">
        <v>21</v>
      </c>
      <c r="O27" s="1" t="s">
        <v>157</v>
      </c>
      <c r="P27">
        <v>0</v>
      </c>
      <c r="Q27" s="1" t="s">
        <v>21</v>
      </c>
      <c r="R27" s="1" t="s">
        <v>28</v>
      </c>
      <c r="S27" s="1">
        <f t="shared" ca="1" si="0"/>
        <v>0.46270998275421737</v>
      </c>
    </row>
    <row r="28" spans="1:19" x14ac:dyDescent="0.25">
      <c r="A28" s="1" t="s">
        <v>158</v>
      </c>
      <c r="B28" s="1" t="s">
        <v>159</v>
      </c>
      <c r="C28" s="1" t="s">
        <v>160</v>
      </c>
      <c r="D28" s="1" t="s">
        <v>21</v>
      </c>
      <c r="E28" s="1" t="s">
        <v>161</v>
      </c>
      <c r="F28" s="1" t="s">
        <v>162</v>
      </c>
      <c r="G28" s="1" t="s">
        <v>21</v>
      </c>
      <c r="H28" s="1" t="s">
        <v>21</v>
      </c>
      <c r="I28" s="1" t="s">
        <v>163</v>
      </c>
      <c r="J28" s="1" t="s">
        <v>25</v>
      </c>
      <c r="L28" s="1" t="s">
        <v>21</v>
      </c>
      <c r="N28" s="1" t="s">
        <v>21</v>
      </c>
      <c r="O28" s="1" t="s">
        <v>164</v>
      </c>
      <c r="P28">
        <v>1.7</v>
      </c>
      <c r="Q28" s="1" t="s">
        <v>48</v>
      </c>
      <c r="R28" s="1" t="s">
        <v>28</v>
      </c>
      <c r="S28" s="1">
        <f t="shared" ca="1" si="0"/>
        <v>0.85693276568745225</v>
      </c>
    </row>
    <row r="29" spans="1:19" x14ac:dyDescent="0.25">
      <c r="A29" s="1" t="s">
        <v>158</v>
      </c>
      <c r="B29" s="1" t="s">
        <v>165</v>
      </c>
      <c r="C29" s="1" t="s">
        <v>160</v>
      </c>
      <c r="D29" s="1" t="s">
        <v>21</v>
      </c>
      <c r="E29" s="1" t="s">
        <v>166</v>
      </c>
      <c r="F29" s="1" t="s">
        <v>162</v>
      </c>
      <c r="G29" s="1" t="s">
        <v>21</v>
      </c>
      <c r="H29" s="1" t="s">
        <v>21</v>
      </c>
      <c r="I29" s="1" t="s">
        <v>163</v>
      </c>
      <c r="J29" s="1" t="s">
        <v>25</v>
      </c>
      <c r="L29" s="1" t="s">
        <v>21</v>
      </c>
      <c r="N29" s="1" t="s">
        <v>21</v>
      </c>
      <c r="O29" s="1" t="s">
        <v>167</v>
      </c>
      <c r="P29">
        <v>1.9</v>
      </c>
      <c r="Q29" s="1" t="s">
        <v>48</v>
      </c>
      <c r="R29" s="1" t="s">
        <v>28</v>
      </c>
      <c r="S29" s="1">
        <f t="shared" ca="1" si="0"/>
        <v>0.14221678083729306</v>
      </c>
    </row>
    <row r="30" spans="1:19" x14ac:dyDescent="0.25">
      <c r="A30" s="1" t="s">
        <v>168</v>
      </c>
      <c r="B30" s="1" t="s">
        <v>21</v>
      </c>
      <c r="C30" s="1" t="s">
        <v>169</v>
      </c>
      <c r="D30" s="1" t="s">
        <v>21</v>
      </c>
      <c r="E30" s="1" t="s">
        <v>170</v>
      </c>
      <c r="F30" s="1" t="s">
        <v>32</v>
      </c>
      <c r="G30" s="1" t="s">
        <v>21</v>
      </c>
      <c r="H30" s="1" t="s">
        <v>21</v>
      </c>
      <c r="I30" s="1" t="s">
        <v>171</v>
      </c>
      <c r="J30" s="1" t="s">
        <v>25</v>
      </c>
      <c r="L30" s="1" t="s">
        <v>21</v>
      </c>
      <c r="N30" s="1" t="s">
        <v>21</v>
      </c>
      <c r="O30" s="1" t="s">
        <v>172</v>
      </c>
      <c r="P30">
        <v>0.6</v>
      </c>
      <c r="Q30" s="1" t="s">
        <v>28</v>
      </c>
      <c r="R30" s="1" t="s">
        <v>173</v>
      </c>
      <c r="S30" s="1">
        <f t="shared" ca="1" si="0"/>
        <v>0.66681175821067762</v>
      </c>
    </row>
    <row r="31" spans="1:19" x14ac:dyDescent="0.25">
      <c r="A31" s="1" t="s">
        <v>168</v>
      </c>
      <c r="B31" s="1" t="s">
        <v>21</v>
      </c>
      <c r="C31" s="1" t="s">
        <v>174</v>
      </c>
      <c r="D31" s="1" t="s">
        <v>21</v>
      </c>
      <c r="E31" s="1" t="s">
        <v>175</v>
      </c>
      <c r="F31" s="1" t="s">
        <v>32</v>
      </c>
      <c r="G31" s="1" t="s">
        <v>171</v>
      </c>
      <c r="H31" s="1" t="s">
        <v>25</v>
      </c>
      <c r="I31" s="1" t="s">
        <v>24</v>
      </c>
      <c r="J31" s="1" t="s">
        <v>25</v>
      </c>
      <c r="L31" s="1" t="s">
        <v>21</v>
      </c>
      <c r="N31" s="1" t="s">
        <v>21</v>
      </c>
      <c r="O31" s="1" t="s">
        <v>176</v>
      </c>
      <c r="P31">
        <v>3</v>
      </c>
      <c r="Q31" s="1" t="s">
        <v>48</v>
      </c>
      <c r="R31" s="1" t="s">
        <v>177</v>
      </c>
      <c r="S31" s="1">
        <f t="shared" ca="1" si="0"/>
        <v>0.35891666244673637</v>
      </c>
    </row>
    <row r="32" spans="1:19" x14ac:dyDescent="0.25">
      <c r="A32" s="1" t="s">
        <v>178</v>
      </c>
      <c r="B32" s="1" t="s">
        <v>21</v>
      </c>
      <c r="C32" s="1" t="s">
        <v>72</v>
      </c>
      <c r="D32" s="1" t="s">
        <v>21</v>
      </c>
      <c r="E32" s="1" t="s">
        <v>179</v>
      </c>
      <c r="F32" s="1" t="s">
        <v>32</v>
      </c>
      <c r="G32" s="1" t="s">
        <v>21</v>
      </c>
      <c r="H32" s="1" t="s">
        <v>21</v>
      </c>
      <c r="I32" s="1" t="s">
        <v>75</v>
      </c>
      <c r="J32" s="1" t="s">
        <v>25</v>
      </c>
      <c r="L32" s="1" t="s">
        <v>21</v>
      </c>
      <c r="N32" s="1" t="s">
        <v>21</v>
      </c>
      <c r="O32" s="1" t="s">
        <v>180</v>
      </c>
      <c r="P32">
        <v>1.1000000000000001</v>
      </c>
      <c r="Q32" s="1" t="s">
        <v>48</v>
      </c>
      <c r="R32" s="1" t="s">
        <v>28</v>
      </c>
      <c r="S32" s="1">
        <f t="shared" ca="1" si="0"/>
        <v>0.42324944659917818</v>
      </c>
    </row>
    <row r="33" spans="1:19" x14ac:dyDescent="0.25">
      <c r="A33" s="1" t="s">
        <v>181</v>
      </c>
      <c r="B33" s="1" t="s">
        <v>21</v>
      </c>
      <c r="C33" s="1" t="s">
        <v>169</v>
      </c>
      <c r="D33" s="1" t="s">
        <v>21</v>
      </c>
      <c r="E33" s="1" t="s">
        <v>182</v>
      </c>
      <c r="F33" s="1" t="s">
        <v>183</v>
      </c>
      <c r="G33" s="1" t="s">
        <v>21</v>
      </c>
      <c r="H33" s="1" t="s">
        <v>21</v>
      </c>
      <c r="I33" s="1" t="s">
        <v>171</v>
      </c>
      <c r="J33" s="1" t="s">
        <v>25</v>
      </c>
      <c r="L33" s="1" t="s">
        <v>21</v>
      </c>
      <c r="N33" s="1" t="s">
        <v>21</v>
      </c>
      <c r="O33" s="1" t="s">
        <v>184</v>
      </c>
      <c r="P33">
        <v>1.8</v>
      </c>
      <c r="Q33" s="1" t="s">
        <v>48</v>
      </c>
      <c r="R33" s="1" t="s">
        <v>28</v>
      </c>
      <c r="S33" s="1">
        <f t="shared" ca="1" si="0"/>
        <v>0.32064773762633003</v>
      </c>
    </row>
    <row r="34" spans="1:19" x14ac:dyDescent="0.25">
      <c r="A34" s="1" t="s">
        <v>181</v>
      </c>
      <c r="B34" s="1" t="s">
        <v>21</v>
      </c>
      <c r="C34" s="1" t="s">
        <v>185</v>
      </c>
      <c r="D34" s="1" t="s">
        <v>21</v>
      </c>
      <c r="E34" s="1" t="s">
        <v>186</v>
      </c>
      <c r="F34" s="1" t="s">
        <v>187</v>
      </c>
      <c r="G34" s="1" t="s">
        <v>171</v>
      </c>
      <c r="H34" s="1" t="s">
        <v>25</v>
      </c>
      <c r="I34" s="1" t="s">
        <v>63</v>
      </c>
      <c r="J34" s="1" t="s">
        <v>25</v>
      </c>
      <c r="L34" s="1" t="s">
        <v>21</v>
      </c>
      <c r="N34" s="1" t="s">
        <v>21</v>
      </c>
      <c r="O34" s="1" t="s">
        <v>188</v>
      </c>
      <c r="P34">
        <v>1.1000000000000001</v>
      </c>
      <c r="Q34" s="1" t="s">
        <v>48</v>
      </c>
      <c r="R34" s="1" t="s">
        <v>28</v>
      </c>
      <c r="S34" s="1">
        <f t="shared" ca="1" si="0"/>
        <v>0.5270803935340399</v>
      </c>
    </row>
    <row r="35" spans="1:19" x14ac:dyDescent="0.25">
      <c r="A35" s="1" t="s">
        <v>189</v>
      </c>
      <c r="B35" s="1" t="s">
        <v>21</v>
      </c>
      <c r="C35" s="1" t="s">
        <v>190</v>
      </c>
      <c r="D35" s="1" t="s">
        <v>21</v>
      </c>
      <c r="E35" s="1" t="s">
        <v>191</v>
      </c>
      <c r="F35" s="1" t="s">
        <v>192</v>
      </c>
      <c r="G35" s="1" t="s">
        <v>193</v>
      </c>
      <c r="H35" s="1" t="s">
        <v>25</v>
      </c>
      <c r="I35" s="1" t="s">
        <v>194</v>
      </c>
      <c r="J35" s="1" t="s">
        <v>25</v>
      </c>
      <c r="L35" s="1" t="s">
        <v>21</v>
      </c>
      <c r="N35" s="1" t="s">
        <v>21</v>
      </c>
      <c r="O35" s="1" t="s">
        <v>195</v>
      </c>
      <c r="P35">
        <v>0.91</v>
      </c>
      <c r="Q35" s="1" t="s">
        <v>27</v>
      </c>
      <c r="R35" s="1" t="s">
        <v>28</v>
      </c>
      <c r="S35" s="1">
        <f t="shared" ca="1" si="0"/>
        <v>0.41059534596133906</v>
      </c>
    </row>
    <row r="36" spans="1:19" x14ac:dyDescent="0.25">
      <c r="A36" s="1" t="s">
        <v>196</v>
      </c>
      <c r="B36" s="1" t="s">
        <v>197</v>
      </c>
      <c r="C36" s="1" t="s">
        <v>145</v>
      </c>
      <c r="D36" s="1" t="s">
        <v>21</v>
      </c>
      <c r="E36" s="1" t="s">
        <v>198</v>
      </c>
      <c r="F36" s="1" t="s">
        <v>199</v>
      </c>
      <c r="G36" s="1" t="s">
        <v>21</v>
      </c>
      <c r="H36" s="1" t="s">
        <v>21</v>
      </c>
      <c r="I36" s="1" t="s">
        <v>148</v>
      </c>
      <c r="J36" s="1" t="s">
        <v>25</v>
      </c>
      <c r="L36" s="1" t="s">
        <v>21</v>
      </c>
      <c r="N36" s="1" t="s">
        <v>21</v>
      </c>
      <c r="O36" s="1" t="s">
        <v>200</v>
      </c>
      <c r="P36">
        <v>6</v>
      </c>
      <c r="Q36" s="1" t="s">
        <v>27</v>
      </c>
      <c r="R36" s="1" t="s">
        <v>28</v>
      </c>
      <c r="S36" s="1">
        <f t="shared" ca="1" si="0"/>
        <v>0.25422845970701669</v>
      </c>
    </row>
    <row r="37" spans="1:19" x14ac:dyDescent="0.25">
      <c r="A37" s="1" t="s">
        <v>196</v>
      </c>
      <c r="B37" s="1" t="s">
        <v>201</v>
      </c>
      <c r="C37" s="1" t="s">
        <v>202</v>
      </c>
      <c r="D37" s="1" t="s">
        <v>21</v>
      </c>
      <c r="E37" s="1" t="s">
        <v>203</v>
      </c>
      <c r="F37" s="1" t="s">
        <v>187</v>
      </c>
      <c r="G37" s="1" t="s">
        <v>21</v>
      </c>
      <c r="H37" s="1" t="s">
        <v>21</v>
      </c>
      <c r="I37" s="1" t="s">
        <v>204</v>
      </c>
      <c r="J37" s="1" t="s">
        <v>25</v>
      </c>
      <c r="L37" s="1" t="s">
        <v>21</v>
      </c>
      <c r="N37" s="1" t="s">
        <v>21</v>
      </c>
      <c r="O37" s="1" t="s">
        <v>205</v>
      </c>
      <c r="P37">
        <v>1</v>
      </c>
      <c r="Q37" s="1" t="s">
        <v>27</v>
      </c>
      <c r="R37" s="1" t="s">
        <v>28</v>
      </c>
      <c r="S37" s="1">
        <f t="shared" ca="1" si="0"/>
        <v>0.57884995305588216</v>
      </c>
    </row>
    <row r="38" spans="1:19" x14ac:dyDescent="0.25">
      <c r="A38" s="1" t="s">
        <v>206</v>
      </c>
      <c r="B38" s="1" t="s">
        <v>207</v>
      </c>
      <c r="C38" s="1" t="s">
        <v>20</v>
      </c>
      <c r="D38" s="1" t="s">
        <v>21</v>
      </c>
      <c r="E38" s="1" t="s">
        <v>208</v>
      </c>
      <c r="F38" s="1" t="s">
        <v>209</v>
      </c>
      <c r="G38" s="1" t="s">
        <v>21</v>
      </c>
      <c r="H38" s="1" t="s">
        <v>21</v>
      </c>
      <c r="I38" s="1" t="s">
        <v>24</v>
      </c>
      <c r="J38" s="1" t="s">
        <v>25</v>
      </c>
      <c r="L38" s="1" t="s">
        <v>21</v>
      </c>
      <c r="N38" s="1" t="s">
        <v>21</v>
      </c>
      <c r="O38" s="1" t="s">
        <v>210</v>
      </c>
      <c r="P38">
        <v>0</v>
      </c>
      <c r="Q38" s="1" t="s">
        <v>21</v>
      </c>
      <c r="R38" s="1" t="s">
        <v>28</v>
      </c>
      <c r="S38" s="1">
        <f t="shared" ca="1" si="0"/>
        <v>0.20414302594787059</v>
      </c>
    </row>
    <row r="39" spans="1:19" x14ac:dyDescent="0.25">
      <c r="A39" s="1" t="s">
        <v>206</v>
      </c>
      <c r="B39" s="1" t="s">
        <v>201</v>
      </c>
      <c r="C39" s="1" t="s">
        <v>211</v>
      </c>
      <c r="D39" s="1" t="s">
        <v>21</v>
      </c>
      <c r="E39" s="1" t="s">
        <v>212</v>
      </c>
      <c r="F39" s="1" t="s">
        <v>187</v>
      </c>
      <c r="G39" s="1" t="s">
        <v>21</v>
      </c>
      <c r="H39" s="1" t="s">
        <v>21</v>
      </c>
      <c r="I39" s="1" t="s">
        <v>154</v>
      </c>
      <c r="J39" s="1" t="s">
        <v>25</v>
      </c>
      <c r="L39" s="1" t="s">
        <v>21</v>
      </c>
      <c r="N39" s="1" t="s">
        <v>21</v>
      </c>
      <c r="O39" s="1" t="s">
        <v>213</v>
      </c>
      <c r="P39">
        <v>0</v>
      </c>
      <c r="Q39" s="1" t="s">
        <v>21</v>
      </c>
      <c r="R39" s="1" t="s">
        <v>28</v>
      </c>
      <c r="S39" s="1">
        <f t="shared" ca="1" si="0"/>
        <v>0.72196048965571313</v>
      </c>
    </row>
    <row r="40" spans="1:19" x14ac:dyDescent="0.25">
      <c r="A40" s="1" t="s">
        <v>214</v>
      </c>
      <c r="B40" s="1" t="s">
        <v>21</v>
      </c>
      <c r="C40" s="1" t="s">
        <v>215</v>
      </c>
      <c r="D40" s="1" t="s">
        <v>21</v>
      </c>
      <c r="E40" s="1" t="s">
        <v>216</v>
      </c>
      <c r="F40" s="1" t="s">
        <v>217</v>
      </c>
      <c r="G40" s="1" t="s">
        <v>218</v>
      </c>
      <c r="H40" s="1" t="s">
        <v>219</v>
      </c>
      <c r="I40" s="1" t="s">
        <v>220</v>
      </c>
      <c r="J40" s="1" t="s">
        <v>219</v>
      </c>
      <c r="L40" s="1" t="s">
        <v>21</v>
      </c>
      <c r="N40" s="1" t="s">
        <v>21</v>
      </c>
      <c r="O40" s="1" t="s">
        <v>221</v>
      </c>
      <c r="P40">
        <v>10</v>
      </c>
      <c r="Q40" s="1" t="s">
        <v>27</v>
      </c>
      <c r="R40" s="1" t="s">
        <v>28</v>
      </c>
      <c r="S40" s="1">
        <f t="shared" ca="1" si="0"/>
        <v>0.45692449504961985</v>
      </c>
    </row>
    <row r="41" spans="1:19" x14ac:dyDescent="0.25">
      <c r="A41" s="1" t="s">
        <v>222</v>
      </c>
      <c r="B41" s="1" t="s">
        <v>223</v>
      </c>
      <c r="C41" s="1" t="s">
        <v>160</v>
      </c>
      <c r="D41" s="1" t="s">
        <v>21</v>
      </c>
      <c r="E41" s="1" t="s">
        <v>224</v>
      </c>
      <c r="F41" s="1" t="s">
        <v>32</v>
      </c>
      <c r="G41" s="1" t="s">
        <v>21</v>
      </c>
      <c r="H41" s="1" t="s">
        <v>21</v>
      </c>
      <c r="I41" s="1" t="s">
        <v>163</v>
      </c>
      <c r="J41" s="1" t="s">
        <v>25</v>
      </c>
      <c r="L41" s="1" t="s">
        <v>21</v>
      </c>
      <c r="N41" s="1" t="s">
        <v>21</v>
      </c>
      <c r="O41" s="1" t="s">
        <v>225</v>
      </c>
      <c r="P41">
        <v>1.5</v>
      </c>
      <c r="Q41" s="1" t="s">
        <v>48</v>
      </c>
      <c r="R41" s="1" t="s">
        <v>28</v>
      </c>
      <c r="S41" s="1">
        <f t="shared" ca="1" si="0"/>
        <v>0.53927688879558833</v>
      </c>
    </row>
    <row r="42" spans="1:19" x14ac:dyDescent="0.25">
      <c r="A42" s="1" t="s">
        <v>222</v>
      </c>
      <c r="B42" s="1" t="s">
        <v>226</v>
      </c>
      <c r="C42" s="1" t="s">
        <v>227</v>
      </c>
      <c r="D42" s="1" t="s">
        <v>21</v>
      </c>
      <c r="E42" s="1" t="s">
        <v>228</v>
      </c>
      <c r="F42" s="1" t="s">
        <v>229</v>
      </c>
      <c r="G42" s="1" t="s">
        <v>227</v>
      </c>
      <c r="H42" s="1" t="s">
        <v>21</v>
      </c>
      <c r="I42" s="1" t="s">
        <v>227</v>
      </c>
      <c r="J42" s="1" t="s">
        <v>21</v>
      </c>
      <c r="L42" s="1" t="s">
        <v>21</v>
      </c>
      <c r="N42" s="1" t="s">
        <v>21</v>
      </c>
      <c r="O42" s="1" t="s">
        <v>230</v>
      </c>
      <c r="P42">
        <v>16</v>
      </c>
      <c r="Q42" s="1" t="s">
        <v>48</v>
      </c>
      <c r="R42" s="1" t="s">
        <v>28</v>
      </c>
      <c r="S42" s="1">
        <f t="shared" ca="1" si="0"/>
        <v>0.59429340121423913</v>
      </c>
    </row>
    <row r="43" spans="1:19" x14ac:dyDescent="0.25">
      <c r="A43" s="1" t="s">
        <v>231</v>
      </c>
      <c r="B43" s="1" t="s">
        <v>232</v>
      </c>
      <c r="C43" s="1" t="s">
        <v>233</v>
      </c>
      <c r="D43" s="1" t="s">
        <v>21</v>
      </c>
      <c r="E43" s="1" t="s">
        <v>234</v>
      </c>
      <c r="F43" s="1" t="s">
        <v>235</v>
      </c>
      <c r="G43" s="1" t="s">
        <v>21</v>
      </c>
      <c r="H43" s="1" t="s">
        <v>21</v>
      </c>
      <c r="I43" s="1" t="s">
        <v>236</v>
      </c>
      <c r="J43" s="1" t="s">
        <v>237</v>
      </c>
      <c r="L43" s="1" t="s">
        <v>21</v>
      </c>
      <c r="N43" s="1" t="s">
        <v>21</v>
      </c>
      <c r="O43" s="1" t="s">
        <v>238</v>
      </c>
      <c r="P43">
        <v>1.2</v>
      </c>
      <c r="Q43" s="1" t="s">
        <v>48</v>
      </c>
      <c r="R43" s="1" t="s">
        <v>28</v>
      </c>
      <c r="S43" s="1">
        <f t="shared" ca="1" si="0"/>
        <v>0.54274978706219135</v>
      </c>
    </row>
    <row r="44" spans="1:19" x14ac:dyDescent="0.25">
      <c r="A44" s="1" t="s">
        <v>231</v>
      </c>
      <c r="B44" s="1" t="s">
        <v>239</v>
      </c>
      <c r="C44" s="1" t="s">
        <v>227</v>
      </c>
      <c r="D44" s="1" t="s">
        <v>21</v>
      </c>
      <c r="E44" s="1" t="s">
        <v>240</v>
      </c>
      <c r="F44" s="1" t="s">
        <v>241</v>
      </c>
      <c r="G44" s="1" t="s">
        <v>227</v>
      </c>
      <c r="H44" s="1" t="s">
        <v>21</v>
      </c>
      <c r="I44" s="1" t="s">
        <v>227</v>
      </c>
      <c r="J44" s="1" t="s">
        <v>21</v>
      </c>
      <c r="L44" s="1" t="s">
        <v>21</v>
      </c>
      <c r="N44" s="1" t="s">
        <v>21</v>
      </c>
      <c r="O44" s="1" t="s">
        <v>242</v>
      </c>
      <c r="P44">
        <v>1.7000000000000001E-2</v>
      </c>
      <c r="Q44" s="1" t="s">
        <v>48</v>
      </c>
      <c r="R44" s="1" t="s">
        <v>28</v>
      </c>
      <c r="S44" s="1">
        <f t="shared" ca="1" si="0"/>
        <v>0.3210467570659713</v>
      </c>
    </row>
    <row r="45" spans="1:19" x14ac:dyDescent="0.25">
      <c r="A45" s="1" t="s">
        <v>243</v>
      </c>
      <c r="B45" s="1" t="s">
        <v>127</v>
      </c>
      <c r="C45" s="1" t="s">
        <v>244</v>
      </c>
      <c r="D45" s="1" t="s">
        <v>21</v>
      </c>
      <c r="E45" s="1" t="s">
        <v>245</v>
      </c>
      <c r="F45" s="1" t="s">
        <v>229</v>
      </c>
      <c r="G45" s="1" t="s">
        <v>33</v>
      </c>
      <c r="H45" s="1" t="s">
        <v>246</v>
      </c>
      <c r="I45" s="1" t="s">
        <v>33</v>
      </c>
      <c r="J45" s="1" t="s">
        <v>246</v>
      </c>
      <c r="L45" s="1" t="s">
        <v>21</v>
      </c>
      <c r="N45" s="1" t="s">
        <v>21</v>
      </c>
      <c r="O45" s="1" t="s">
        <v>140</v>
      </c>
      <c r="P45">
        <v>3.4</v>
      </c>
      <c r="Q45" s="1" t="s">
        <v>48</v>
      </c>
      <c r="R45" s="1" t="s">
        <v>28</v>
      </c>
      <c r="S45" s="1">
        <f t="shared" ca="1" si="0"/>
        <v>0.54414619466093717</v>
      </c>
    </row>
    <row r="46" spans="1:19" x14ac:dyDescent="0.25">
      <c r="A46" s="1" t="s">
        <v>243</v>
      </c>
      <c r="B46" s="1" t="s">
        <v>247</v>
      </c>
      <c r="C46" s="1" t="s">
        <v>248</v>
      </c>
      <c r="D46" s="1" t="s">
        <v>21</v>
      </c>
      <c r="E46" s="1" t="s">
        <v>249</v>
      </c>
      <c r="F46" s="1" t="s">
        <v>229</v>
      </c>
      <c r="G46" s="1" t="s">
        <v>250</v>
      </c>
      <c r="H46" s="1" t="s">
        <v>251</v>
      </c>
      <c r="I46" s="1" t="s">
        <v>252</v>
      </c>
      <c r="J46" s="1" t="s">
        <v>251</v>
      </c>
      <c r="L46" s="1" t="s">
        <v>21</v>
      </c>
      <c r="N46" s="1" t="s">
        <v>21</v>
      </c>
      <c r="O46" s="1" t="s">
        <v>75</v>
      </c>
      <c r="P46">
        <v>0</v>
      </c>
      <c r="Q46" s="1" t="s">
        <v>21</v>
      </c>
      <c r="R46" s="1" t="s">
        <v>253</v>
      </c>
      <c r="S46" s="1">
        <f t="shared" ca="1" si="0"/>
        <v>0.10392307340773377</v>
      </c>
    </row>
    <row r="47" spans="1:19" x14ac:dyDescent="0.25">
      <c r="A47" s="1" t="s">
        <v>243</v>
      </c>
      <c r="B47" s="1" t="s">
        <v>254</v>
      </c>
      <c r="C47" s="1" t="s">
        <v>255</v>
      </c>
      <c r="D47" s="1" t="s">
        <v>21</v>
      </c>
      <c r="E47" s="1" t="s">
        <v>256</v>
      </c>
      <c r="F47" s="1" t="s">
        <v>229</v>
      </c>
      <c r="G47" s="1" t="s">
        <v>204</v>
      </c>
      <c r="H47" s="1" t="s">
        <v>257</v>
      </c>
      <c r="I47" s="1" t="s">
        <v>258</v>
      </c>
      <c r="J47" s="1" t="s">
        <v>257</v>
      </c>
      <c r="L47" s="1" t="s">
        <v>21</v>
      </c>
      <c r="N47" s="1" t="s">
        <v>21</v>
      </c>
      <c r="O47" s="1" t="s">
        <v>259</v>
      </c>
      <c r="P47">
        <v>0</v>
      </c>
      <c r="Q47" s="1" t="s">
        <v>21</v>
      </c>
      <c r="R47" s="1" t="s">
        <v>260</v>
      </c>
      <c r="S47" s="1">
        <f t="shared" ca="1" si="0"/>
        <v>0.15256932297513237</v>
      </c>
    </row>
    <row r="48" spans="1:19" x14ac:dyDescent="0.25">
      <c r="A48" s="1" t="s">
        <v>261</v>
      </c>
      <c r="B48" s="1" t="s">
        <v>223</v>
      </c>
      <c r="C48" s="1" t="s">
        <v>262</v>
      </c>
      <c r="D48" s="1" t="s">
        <v>21</v>
      </c>
      <c r="E48" s="1" t="s">
        <v>263</v>
      </c>
      <c r="F48" s="1" t="s">
        <v>264</v>
      </c>
      <c r="G48" s="1" t="s">
        <v>21</v>
      </c>
      <c r="H48" s="1" t="s">
        <v>21</v>
      </c>
      <c r="I48" s="1" t="s">
        <v>265</v>
      </c>
      <c r="J48" s="1" t="s">
        <v>104</v>
      </c>
      <c r="L48" s="1" t="s">
        <v>21</v>
      </c>
      <c r="N48" s="1" t="s">
        <v>21</v>
      </c>
      <c r="O48" s="1" t="s">
        <v>263</v>
      </c>
      <c r="Q48" s="1" t="s">
        <v>21</v>
      </c>
      <c r="R48" s="1" t="s">
        <v>21</v>
      </c>
      <c r="S48" s="1">
        <f t="shared" ca="1" si="0"/>
        <v>0.17728067745788501</v>
      </c>
    </row>
    <row r="49" spans="1:19" x14ac:dyDescent="0.25">
      <c r="A49" s="1" t="s">
        <v>261</v>
      </c>
      <c r="B49" s="1" t="s">
        <v>223</v>
      </c>
      <c r="C49" s="1" t="s">
        <v>21</v>
      </c>
      <c r="D49" s="1" t="s">
        <v>21</v>
      </c>
      <c r="E49" s="1" t="s">
        <v>266</v>
      </c>
      <c r="F49" s="1" t="s">
        <v>264</v>
      </c>
      <c r="G49" s="1" t="s">
        <v>21</v>
      </c>
      <c r="H49" s="1" t="s">
        <v>21</v>
      </c>
      <c r="I49" s="1" t="s">
        <v>21</v>
      </c>
      <c r="J49" s="1" t="s">
        <v>21</v>
      </c>
      <c r="L49" s="1" t="s">
        <v>21</v>
      </c>
      <c r="N49" s="1" t="s">
        <v>21</v>
      </c>
      <c r="O49" s="1" t="s">
        <v>267</v>
      </c>
      <c r="P49">
        <v>0</v>
      </c>
      <c r="Q49" s="1" t="s">
        <v>21</v>
      </c>
      <c r="R49" s="1" t="s">
        <v>268</v>
      </c>
      <c r="S49" s="1">
        <f t="shared" ca="1" si="0"/>
        <v>0.43975244012306469</v>
      </c>
    </row>
    <row r="50" spans="1:19" x14ac:dyDescent="0.25">
      <c r="A50" s="1" t="s">
        <v>261</v>
      </c>
      <c r="B50" s="1" t="s">
        <v>226</v>
      </c>
      <c r="C50" s="1" t="s">
        <v>227</v>
      </c>
      <c r="D50" s="1" t="s">
        <v>21</v>
      </c>
      <c r="E50" s="1" t="s">
        <v>269</v>
      </c>
      <c r="F50" s="1" t="s">
        <v>229</v>
      </c>
      <c r="G50" s="1" t="s">
        <v>227</v>
      </c>
      <c r="H50" s="1" t="s">
        <v>21</v>
      </c>
      <c r="I50" s="1" t="s">
        <v>227</v>
      </c>
      <c r="J50" s="1" t="s">
        <v>21</v>
      </c>
      <c r="L50" s="1" t="s">
        <v>21</v>
      </c>
      <c r="N50" s="1" t="s">
        <v>21</v>
      </c>
      <c r="O50" s="1" t="s">
        <v>270</v>
      </c>
      <c r="P50">
        <v>0</v>
      </c>
      <c r="Q50" s="1" t="s">
        <v>21</v>
      </c>
      <c r="R50" s="1" t="s">
        <v>25</v>
      </c>
      <c r="S50" s="1">
        <f t="shared" ca="1" si="0"/>
        <v>0.41270285900363946</v>
      </c>
    </row>
    <row r="51" spans="1:19" x14ac:dyDescent="0.25">
      <c r="A51" s="1" t="s">
        <v>271</v>
      </c>
      <c r="B51" s="1" t="s">
        <v>272</v>
      </c>
      <c r="C51" s="1" t="s">
        <v>273</v>
      </c>
      <c r="D51" s="1" t="s">
        <v>21</v>
      </c>
      <c r="E51" s="1" t="s">
        <v>274</v>
      </c>
      <c r="F51" s="1" t="s">
        <v>275</v>
      </c>
      <c r="G51" s="1" t="s">
        <v>276</v>
      </c>
      <c r="H51" s="1" t="s">
        <v>25</v>
      </c>
      <c r="I51" s="1" t="s">
        <v>277</v>
      </c>
      <c r="J51" s="1" t="s">
        <v>25</v>
      </c>
      <c r="L51" s="1" t="s">
        <v>21</v>
      </c>
      <c r="N51" s="1" t="s">
        <v>21</v>
      </c>
      <c r="O51" s="1" t="s">
        <v>278</v>
      </c>
      <c r="P51">
        <v>0</v>
      </c>
      <c r="Q51" s="1" t="s">
        <v>21</v>
      </c>
      <c r="R51" s="1" t="s">
        <v>28</v>
      </c>
      <c r="S51" s="1">
        <f t="shared" ca="1" si="0"/>
        <v>0.60812411389348031</v>
      </c>
    </row>
    <row r="52" spans="1:19" x14ac:dyDescent="0.25">
      <c r="A52" s="1" t="s">
        <v>271</v>
      </c>
      <c r="B52" s="1" t="s">
        <v>279</v>
      </c>
      <c r="C52" s="1" t="s">
        <v>169</v>
      </c>
      <c r="D52" s="1" t="s">
        <v>21</v>
      </c>
      <c r="E52" s="1" t="s">
        <v>280</v>
      </c>
      <c r="F52" s="1" t="s">
        <v>281</v>
      </c>
      <c r="G52" s="1" t="s">
        <v>21</v>
      </c>
      <c r="H52" s="1" t="s">
        <v>21</v>
      </c>
      <c r="I52" s="1" t="s">
        <v>171</v>
      </c>
      <c r="J52" s="1" t="s">
        <v>25</v>
      </c>
      <c r="L52" s="1" t="s">
        <v>21</v>
      </c>
      <c r="N52" s="1" t="s">
        <v>21</v>
      </c>
      <c r="O52" s="1" t="s">
        <v>282</v>
      </c>
      <c r="P52">
        <v>0</v>
      </c>
      <c r="Q52" s="1" t="s">
        <v>21</v>
      </c>
      <c r="R52" s="1" t="s">
        <v>28</v>
      </c>
      <c r="S52" s="1">
        <f t="shared" ca="1" si="0"/>
        <v>0.66631403927201271</v>
      </c>
    </row>
    <row r="53" spans="1:19" x14ac:dyDescent="0.25">
      <c r="A53" s="1" t="s">
        <v>271</v>
      </c>
      <c r="B53" s="1" t="s">
        <v>283</v>
      </c>
      <c r="C53" s="1" t="s">
        <v>169</v>
      </c>
      <c r="D53" s="1" t="s">
        <v>21</v>
      </c>
      <c r="E53" s="1" t="s">
        <v>284</v>
      </c>
      <c r="F53" s="1" t="s">
        <v>285</v>
      </c>
      <c r="G53" s="1" t="s">
        <v>21</v>
      </c>
      <c r="H53" s="1" t="s">
        <v>21</v>
      </c>
      <c r="I53" s="1" t="s">
        <v>171</v>
      </c>
      <c r="J53" s="1" t="s">
        <v>25</v>
      </c>
      <c r="L53" s="1" t="s">
        <v>21</v>
      </c>
      <c r="N53" s="1" t="s">
        <v>21</v>
      </c>
      <c r="O53" s="1" t="s">
        <v>286</v>
      </c>
      <c r="P53">
        <v>0</v>
      </c>
      <c r="Q53" s="1" t="s">
        <v>21</v>
      </c>
      <c r="R53" s="1" t="s">
        <v>28</v>
      </c>
      <c r="S53" s="1">
        <f t="shared" ca="1" si="0"/>
        <v>0.90149385694911466</v>
      </c>
    </row>
    <row r="54" spans="1:19" x14ac:dyDescent="0.25">
      <c r="A54" s="1" t="s">
        <v>287</v>
      </c>
      <c r="B54" s="1" t="s">
        <v>21</v>
      </c>
      <c r="C54" s="1" t="s">
        <v>288</v>
      </c>
      <c r="D54" s="1" t="s">
        <v>21</v>
      </c>
      <c r="E54" s="1" t="s">
        <v>289</v>
      </c>
      <c r="F54" s="1" t="s">
        <v>290</v>
      </c>
      <c r="G54" s="1" t="s">
        <v>291</v>
      </c>
      <c r="H54" s="1" t="s">
        <v>25</v>
      </c>
      <c r="I54" s="1" t="s">
        <v>292</v>
      </c>
      <c r="J54" s="1" t="s">
        <v>25</v>
      </c>
      <c r="L54" s="1" t="s">
        <v>21</v>
      </c>
      <c r="N54" s="1" t="s">
        <v>21</v>
      </c>
      <c r="O54" s="1" t="s">
        <v>293</v>
      </c>
      <c r="P54">
        <v>0</v>
      </c>
      <c r="Q54" s="1" t="s">
        <v>21</v>
      </c>
      <c r="R54" s="1" t="s">
        <v>28</v>
      </c>
      <c r="S54" s="1">
        <f t="shared" ca="1" si="0"/>
        <v>0.802596819987623</v>
      </c>
    </row>
    <row r="55" spans="1:19" x14ac:dyDescent="0.25">
      <c r="A55" s="1" t="s">
        <v>294</v>
      </c>
      <c r="B55" s="1" t="s">
        <v>21</v>
      </c>
      <c r="C55" s="1" t="s">
        <v>295</v>
      </c>
      <c r="D55" s="1" t="s">
        <v>21</v>
      </c>
      <c r="E55" s="1" t="s">
        <v>296</v>
      </c>
      <c r="F55" s="1" t="s">
        <v>297</v>
      </c>
      <c r="G55" s="1" t="s">
        <v>124</v>
      </c>
      <c r="H55" s="1" t="s">
        <v>28</v>
      </c>
      <c r="I55" s="1" t="s">
        <v>124</v>
      </c>
      <c r="J55" s="1" t="s">
        <v>28</v>
      </c>
      <c r="L55" s="1" t="s">
        <v>21</v>
      </c>
      <c r="N55" s="1" t="s">
        <v>21</v>
      </c>
      <c r="O55" s="1" t="s">
        <v>298</v>
      </c>
      <c r="P55">
        <v>0</v>
      </c>
      <c r="Q55" s="1" t="s">
        <v>21</v>
      </c>
      <c r="R55" s="1" t="s">
        <v>28</v>
      </c>
      <c r="S55" s="1">
        <f t="shared" ca="1" si="0"/>
        <v>0.5683265775331412</v>
      </c>
    </row>
    <row r="56" spans="1:19" x14ac:dyDescent="0.25">
      <c r="A56" s="1" t="s">
        <v>294</v>
      </c>
      <c r="B56" s="1" t="s">
        <v>21</v>
      </c>
      <c r="C56" s="1" t="s">
        <v>299</v>
      </c>
      <c r="D56" s="1" t="s">
        <v>21</v>
      </c>
      <c r="E56" s="1" t="s">
        <v>300</v>
      </c>
      <c r="F56" s="1" t="s">
        <v>297</v>
      </c>
      <c r="G56" s="1" t="s">
        <v>301</v>
      </c>
      <c r="H56" s="1" t="s">
        <v>28</v>
      </c>
      <c r="I56" s="1" t="s">
        <v>301</v>
      </c>
      <c r="J56" s="1" t="s">
        <v>28</v>
      </c>
      <c r="L56" s="1" t="s">
        <v>21</v>
      </c>
      <c r="N56" s="1" t="s">
        <v>21</v>
      </c>
      <c r="O56" s="1" t="s">
        <v>302</v>
      </c>
      <c r="P56">
        <v>0</v>
      </c>
      <c r="Q56" s="1" t="s">
        <v>21</v>
      </c>
      <c r="R56" s="1" t="s">
        <v>28</v>
      </c>
      <c r="S56" s="1">
        <f t="shared" ca="1" si="0"/>
        <v>0.71588678668281835</v>
      </c>
    </row>
    <row r="57" spans="1:19" x14ac:dyDescent="0.25">
      <c r="A57" s="1" t="s">
        <v>303</v>
      </c>
      <c r="B57" s="1" t="s">
        <v>21</v>
      </c>
      <c r="C57" s="1" t="s">
        <v>304</v>
      </c>
      <c r="D57" s="1" t="s">
        <v>21</v>
      </c>
      <c r="E57" s="1" t="s">
        <v>305</v>
      </c>
      <c r="F57" s="1" t="s">
        <v>306</v>
      </c>
      <c r="G57" s="1" t="s">
        <v>307</v>
      </c>
      <c r="H57" s="1" t="s">
        <v>28</v>
      </c>
      <c r="I57" s="1" t="s">
        <v>308</v>
      </c>
      <c r="J57" s="1" t="s">
        <v>28</v>
      </c>
      <c r="L57" s="1" t="s">
        <v>21</v>
      </c>
      <c r="N57" s="1" t="s">
        <v>21</v>
      </c>
      <c r="O57" s="1" t="s">
        <v>309</v>
      </c>
      <c r="P57">
        <v>1.7000000000000001E-2</v>
      </c>
      <c r="Q57" s="1" t="s">
        <v>21</v>
      </c>
      <c r="R57" s="1" t="s">
        <v>28</v>
      </c>
      <c r="S57" s="1">
        <f t="shared" ca="1" si="0"/>
        <v>0.7059846008611298</v>
      </c>
    </row>
    <row r="58" spans="1:19" x14ac:dyDescent="0.25">
      <c r="A58" s="1" t="s">
        <v>310</v>
      </c>
      <c r="B58" s="1" t="s">
        <v>21</v>
      </c>
      <c r="C58" s="1" t="s">
        <v>311</v>
      </c>
      <c r="D58" s="1" t="s">
        <v>21</v>
      </c>
      <c r="E58" s="1" t="s">
        <v>312</v>
      </c>
      <c r="F58" s="1" t="s">
        <v>281</v>
      </c>
      <c r="G58" s="1" t="s">
        <v>313</v>
      </c>
      <c r="H58" s="1" t="s">
        <v>25</v>
      </c>
      <c r="I58" s="1" t="s">
        <v>314</v>
      </c>
      <c r="J58" s="1" t="s">
        <v>25</v>
      </c>
      <c r="L58" s="1" t="s">
        <v>21</v>
      </c>
      <c r="N58" s="1" t="s">
        <v>21</v>
      </c>
      <c r="O58" s="1" t="s">
        <v>315</v>
      </c>
      <c r="P58">
        <v>62</v>
      </c>
      <c r="Q58" s="1" t="s">
        <v>48</v>
      </c>
      <c r="R58" s="1" t="s">
        <v>28</v>
      </c>
      <c r="S58" s="1">
        <f t="shared" ca="1" si="0"/>
        <v>0.34796716934483263</v>
      </c>
    </row>
    <row r="59" spans="1:19" x14ac:dyDescent="0.25">
      <c r="A59" s="1" t="s">
        <v>316</v>
      </c>
      <c r="B59" s="1" t="s">
        <v>127</v>
      </c>
      <c r="C59" s="1" t="s">
        <v>169</v>
      </c>
      <c r="D59" s="1" t="s">
        <v>21</v>
      </c>
      <c r="E59" s="1" t="s">
        <v>317</v>
      </c>
      <c r="F59" s="1" t="s">
        <v>32</v>
      </c>
      <c r="G59" s="1" t="s">
        <v>21</v>
      </c>
      <c r="H59" s="1" t="s">
        <v>21</v>
      </c>
      <c r="I59" s="1" t="s">
        <v>171</v>
      </c>
      <c r="J59" s="1" t="s">
        <v>25</v>
      </c>
      <c r="L59" s="1" t="s">
        <v>21</v>
      </c>
      <c r="N59" s="1" t="s">
        <v>21</v>
      </c>
      <c r="O59" s="1" t="s">
        <v>318</v>
      </c>
      <c r="P59">
        <v>1.3</v>
      </c>
      <c r="Q59" s="1" t="s">
        <v>48</v>
      </c>
      <c r="R59" s="1" t="s">
        <v>28</v>
      </c>
      <c r="S59" s="1">
        <f t="shared" ca="1" si="0"/>
        <v>0.28360479599917432</v>
      </c>
    </row>
    <row r="60" spans="1:19" x14ac:dyDescent="0.25">
      <c r="A60" s="1" t="s">
        <v>316</v>
      </c>
      <c r="B60" s="1" t="s">
        <v>319</v>
      </c>
      <c r="C60" s="1" t="s">
        <v>80</v>
      </c>
      <c r="D60" s="1" t="s">
        <v>21</v>
      </c>
      <c r="E60" s="1" t="s">
        <v>320</v>
      </c>
      <c r="F60" s="1" t="s">
        <v>321</v>
      </c>
      <c r="G60" s="1" t="s">
        <v>21</v>
      </c>
      <c r="H60" s="1" t="s">
        <v>21</v>
      </c>
      <c r="I60" s="1" t="s">
        <v>80</v>
      </c>
      <c r="J60" s="1" t="s">
        <v>80</v>
      </c>
      <c r="L60" s="1" t="s">
        <v>21</v>
      </c>
      <c r="N60" s="1" t="s">
        <v>21</v>
      </c>
      <c r="O60" s="1" t="s">
        <v>322</v>
      </c>
      <c r="P60">
        <v>0</v>
      </c>
      <c r="Q60" s="1" t="s">
        <v>21</v>
      </c>
      <c r="R60" s="1" t="s">
        <v>28</v>
      </c>
      <c r="S60" s="1">
        <f t="shared" ca="1" si="0"/>
        <v>0.47515683221568772</v>
      </c>
    </row>
    <row r="61" spans="1:19" x14ac:dyDescent="0.25">
      <c r="A61" s="1" t="s">
        <v>316</v>
      </c>
      <c r="B61" s="1" t="s">
        <v>323</v>
      </c>
      <c r="C61" s="1" t="s">
        <v>324</v>
      </c>
      <c r="D61" s="1" t="s">
        <v>21</v>
      </c>
      <c r="E61" s="1" t="s">
        <v>325</v>
      </c>
      <c r="F61" s="1" t="s">
        <v>326</v>
      </c>
      <c r="G61" s="1" t="s">
        <v>220</v>
      </c>
      <c r="H61" s="1" t="s">
        <v>327</v>
      </c>
      <c r="I61" s="1" t="s">
        <v>75</v>
      </c>
      <c r="J61" s="1" t="s">
        <v>327</v>
      </c>
      <c r="L61" s="1" t="s">
        <v>21</v>
      </c>
      <c r="N61" s="1" t="s">
        <v>21</v>
      </c>
      <c r="O61" s="1" t="s">
        <v>328</v>
      </c>
      <c r="P61">
        <v>0</v>
      </c>
      <c r="Q61" s="1" t="s">
        <v>21</v>
      </c>
      <c r="R61" s="1" t="s">
        <v>327</v>
      </c>
      <c r="S61" s="1">
        <f t="shared" ca="1" si="0"/>
        <v>0.3666600936202854</v>
      </c>
    </row>
    <row r="62" spans="1:19" x14ac:dyDescent="0.25">
      <c r="A62" s="1" t="s">
        <v>316</v>
      </c>
      <c r="B62" s="1" t="s">
        <v>329</v>
      </c>
      <c r="C62" s="1" t="s">
        <v>80</v>
      </c>
      <c r="D62" s="1" t="s">
        <v>21</v>
      </c>
      <c r="E62" s="1" t="s">
        <v>330</v>
      </c>
      <c r="F62" s="1" t="s">
        <v>331</v>
      </c>
      <c r="G62" s="1" t="s">
        <v>21</v>
      </c>
      <c r="H62" s="1" t="s">
        <v>21</v>
      </c>
      <c r="I62" s="1" t="s">
        <v>80</v>
      </c>
      <c r="J62" s="1" t="s">
        <v>80</v>
      </c>
      <c r="L62" s="1" t="s">
        <v>21</v>
      </c>
      <c r="N62" s="1" t="s">
        <v>21</v>
      </c>
      <c r="O62" s="1" t="s">
        <v>194</v>
      </c>
      <c r="P62">
        <v>0</v>
      </c>
      <c r="Q62" s="1" t="s">
        <v>21</v>
      </c>
      <c r="R62" s="1" t="s">
        <v>28</v>
      </c>
      <c r="S62" s="1">
        <f t="shared" ca="1" si="0"/>
        <v>0.15824168270768124</v>
      </c>
    </row>
    <row r="63" spans="1:19" x14ac:dyDescent="0.25">
      <c r="A63" s="1" t="s">
        <v>332</v>
      </c>
      <c r="B63" s="1" t="s">
        <v>21</v>
      </c>
      <c r="C63" s="1" t="s">
        <v>333</v>
      </c>
      <c r="D63" s="1" t="s">
        <v>21</v>
      </c>
      <c r="E63" s="1" t="s">
        <v>334</v>
      </c>
      <c r="F63" s="1" t="s">
        <v>335</v>
      </c>
      <c r="G63" s="1" t="s">
        <v>21</v>
      </c>
      <c r="H63" s="1" t="s">
        <v>21</v>
      </c>
      <c r="I63" s="1" t="s">
        <v>113</v>
      </c>
      <c r="J63" s="1" t="s">
        <v>336</v>
      </c>
      <c r="L63" s="1" t="s">
        <v>21</v>
      </c>
      <c r="N63" s="1" t="s">
        <v>21</v>
      </c>
      <c r="O63" s="1" t="s">
        <v>337</v>
      </c>
      <c r="P63">
        <v>2.3E-2</v>
      </c>
      <c r="Q63" s="1" t="s">
        <v>338</v>
      </c>
      <c r="R63" s="1" t="s">
        <v>336</v>
      </c>
      <c r="S63" s="1">
        <f t="shared" ca="1" si="0"/>
        <v>0.66652845139917916</v>
      </c>
    </row>
    <row r="64" spans="1:19" x14ac:dyDescent="0.25">
      <c r="A64" s="1" t="s">
        <v>339</v>
      </c>
      <c r="B64" s="1" t="s">
        <v>21</v>
      </c>
      <c r="C64" s="1" t="s">
        <v>340</v>
      </c>
      <c r="D64" s="1" t="s">
        <v>21</v>
      </c>
      <c r="E64" s="1" t="s">
        <v>341</v>
      </c>
      <c r="F64" s="1" t="s">
        <v>138</v>
      </c>
      <c r="G64" s="1" t="s">
        <v>21</v>
      </c>
      <c r="H64" s="1" t="s">
        <v>21</v>
      </c>
      <c r="I64" s="1" t="s">
        <v>342</v>
      </c>
      <c r="J64" s="1" t="s">
        <v>336</v>
      </c>
      <c r="L64" s="1" t="s">
        <v>21</v>
      </c>
      <c r="N64" s="1" t="s">
        <v>21</v>
      </c>
      <c r="O64" s="1" t="s">
        <v>343</v>
      </c>
      <c r="P64">
        <v>0</v>
      </c>
      <c r="Q64" s="1" t="s">
        <v>21</v>
      </c>
      <c r="R64" s="1" t="s">
        <v>336</v>
      </c>
      <c r="S64" s="1">
        <f t="shared" ca="1" si="0"/>
        <v>0.62507694913985146</v>
      </c>
    </row>
    <row r="65" spans="1:19" x14ac:dyDescent="0.25">
      <c r="A65" s="1" t="s">
        <v>344</v>
      </c>
      <c r="B65" s="1" t="s">
        <v>21</v>
      </c>
      <c r="C65" s="1" t="s">
        <v>345</v>
      </c>
      <c r="D65" s="1" t="s">
        <v>21</v>
      </c>
      <c r="E65" s="1" t="s">
        <v>112</v>
      </c>
      <c r="F65" s="1" t="s">
        <v>346</v>
      </c>
      <c r="G65" s="1" t="s">
        <v>21</v>
      </c>
      <c r="H65" s="1" t="s">
        <v>21</v>
      </c>
      <c r="I65" s="1" t="s">
        <v>63</v>
      </c>
      <c r="J65" s="1" t="s">
        <v>347</v>
      </c>
      <c r="L65" s="1" t="s">
        <v>21</v>
      </c>
      <c r="N65" s="1" t="s">
        <v>21</v>
      </c>
      <c r="O65" s="1" t="s">
        <v>113</v>
      </c>
      <c r="P65">
        <v>0</v>
      </c>
      <c r="Q65" s="1" t="s">
        <v>21</v>
      </c>
      <c r="R65" s="1" t="s">
        <v>28</v>
      </c>
      <c r="S65" s="1">
        <f t="shared" ca="1" si="0"/>
        <v>0.5264018542700718</v>
      </c>
    </row>
    <row r="66" spans="1:19" x14ac:dyDescent="0.25">
      <c r="A66" s="1" t="s">
        <v>348</v>
      </c>
      <c r="B66" s="1" t="s">
        <v>21</v>
      </c>
      <c r="C66" s="1" t="s">
        <v>349</v>
      </c>
      <c r="D66" s="1" t="s">
        <v>21</v>
      </c>
      <c r="E66" s="1" t="s">
        <v>350</v>
      </c>
      <c r="F66" s="1" t="s">
        <v>351</v>
      </c>
      <c r="G66" s="1" t="s">
        <v>21</v>
      </c>
      <c r="H66" s="1" t="s">
        <v>21</v>
      </c>
      <c r="I66" s="1" t="s">
        <v>352</v>
      </c>
      <c r="J66" s="1" t="s">
        <v>353</v>
      </c>
      <c r="L66" s="1" t="s">
        <v>21</v>
      </c>
      <c r="N66" s="1" t="s">
        <v>21</v>
      </c>
      <c r="O66" s="1" t="s">
        <v>258</v>
      </c>
      <c r="P66">
        <v>0</v>
      </c>
      <c r="Q66" s="1" t="s">
        <v>21</v>
      </c>
      <c r="R66" s="1" t="s">
        <v>28</v>
      </c>
      <c r="S66" s="1">
        <f t="shared" ref="S66:S129" ca="1" si="1">RAND()</f>
        <v>0.35030380756812651</v>
      </c>
    </row>
    <row r="67" spans="1:19" x14ac:dyDescent="0.25">
      <c r="A67" s="1" t="s">
        <v>354</v>
      </c>
      <c r="B67" s="1" t="s">
        <v>21</v>
      </c>
      <c r="C67" s="1" t="s">
        <v>355</v>
      </c>
      <c r="D67" s="1" t="s">
        <v>21</v>
      </c>
      <c r="E67" s="1" t="s">
        <v>356</v>
      </c>
      <c r="F67" s="1" t="s">
        <v>357</v>
      </c>
      <c r="G67" s="1" t="s">
        <v>21</v>
      </c>
      <c r="H67" s="1" t="s">
        <v>21</v>
      </c>
      <c r="I67" s="1" t="s">
        <v>63</v>
      </c>
      <c r="J67" s="1" t="s">
        <v>25</v>
      </c>
      <c r="L67" s="1" t="s">
        <v>21</v>
      </c>
      <c r="N67" s="1" t="s">
        <v>21</v>
      </c>
      <c r="O67" s="1" t="s">
        <v>358</v>
      </c>
      <c r="P67">
        <v>1.2</v>
      </c>
      <c r="Q67" s="1" t="s">
        <v>48</v>
      </c>
      <c r="R67" s="1" t="s">
        <v>28</v>
      </c>
      <c r="S67" s="1">
        <f t="shared" ca="1" si="1"/>
        <v>0.51775705672055039</v>
      </c>
    </row>
    <row r="68" spans="1:19" x14ac:dyDescent="0.25">
      <c r="A68" s="1" t="s">
        <v>354</v>
      </c>
      <c r="B68" s="1" t="s">
        <v>21</v>
      </c>
      <c r="C68" s="1" t="s">
        <v>359</v>
      </c>
      <c r="D68" s="1" t="s">
        <v>21</v>
      </c>
      <c r="E68" s="1" t="s">
        <v>360</v>
      </c>
      <c r="F68" s="1" t="s">
        <v>361</v>
      </c>
      <c r="G68" s="1" t="s">
        <v>21</v>
      </c>
      <c r="H68" s="1" t="s">
        <v>21</v>
      </c>
      <c r="I68" s="1" t="s">
        <v>362</v>
      </c>
      <c r="J68" s="1" t="s">
        <v>25</v>
      </c>
      <c r="L68" s="1" t="s">
        <v>21</v>
      </c>
      <c r="N68" s="1" t="s">
        <v>21</v>
      </c>
      <c r="O68" s="1" t="s">
        <v>225</v>
      </c>
      <c r="P68">
        <v>2.1</v>
      </c>
      <c r="Q68" s="1" t="s">
        <v>48</v>
      </c>
      <c r="R68" s="1" t="s">
        <v>28</v>
      </c>
      <c r="S68" s="1">
        <f t="shared" ca="1" si="1"/>
        <v>0.97548985353319007</v>
      </c>
    </row>
    <row r="69" spans="1:19" x14ac:dyDescent="0.25">
      <c r="A69" s="1" t="s">
        <v>354</v>
      </c>
      <c r="B69" s="1" t="s">
        <v>21</v>
      </c>
      <c r="C69" s="1" t="s">
        <v>363</v>
      </c>
      <c r="D69" s="1" t="s">
        <v>21</v>
      </c>
      <c r="E69" s="1" t="s">
        <v>364</v>
      </c>
      <c r="F69" s="1" t="s">
        <v>281</v>
      </c>
      <c r="G69" s="1" t="s">
        <v>21</v>
      </c>
      <c r="H69" s="1" t="s">
        <v>21</v>
      </c>
      <c r="I69" s="1" t="s">
        <v>365</v>
      </c>
      <c r="J69" s="1" t="s">
        <v>25</v>
      </c>
      <c r="L69" s="1" t="s">
        <v>21</v>
      </c>
      <c r="N69" s="1" t="s">
        <v>21</v>
      </c>
      <c r="O69" s="1" t="s">
        <v>366</v>
      </c>
      <c r="P69">
        <v>96</v>
      </c>
      <c r="Q69" s="1" t="s">
        <v>48</v>
      </c>
      <c r="R69" s="1" t="s">
        <v>28</v>
      </c>
      <c r="S69" s="1">
        <f t="shared" ca="1" si="1"/>
        <v>0.76201162706477665</v>
      </c>
    </row>
    <row r="70" spans="1:19" x14ac:dyDescent="0.25">
      <c r="A70" s="1" t="s">
        <v>354</v>
      </c>
      <c r="B70" s="1" t="s">
        <v>21</v>
      </c>
      <c r="C70" s="1" t="s">
        <v>367</v>
      </c>
      <c r="D70" s="1" t="s">
        <v>21</v>
      </c>
      <c r="E70" s="1" t="s">
        <v>368</v>
      </c>
      <c r="F70" s="1" t="s">
        <v>369</v>
      </c>
      <c r="G70" s="1" t="s">
        <v>21</v>
      </c>
      <c r="H70" s="1" t="s">
        <v>21</v>
      </c>
      <c r="I70" s="1" t="s">
        <v>370</v>
      </c>
      <c r="J70" s="1" t="s">
        <v>104</v>
      </c>
      <c r="L70" s="1" t="s">
        <v>21</v>
      </c>
      <c r="N70" s="1" t="s">
        <v>21</v>
      </c>
      <c r="O70" s="1" t="s">
        <v>105</v>
      </c>
      <c r="P70">
        <v>1.6</v>
      </c>
      <c r="Q70" s="1" t="s">
        <v>48</v>
      </c>
      <c r="R70" s="1" t="s">
        <v>28</v>
      </c>
      <c r="S70" s="1">
        <f t="shared" ca="1" si="1"/>
        <v>0.34723235710220179</v>
      </c>
    </row>
    <row r="71" spans="1:19" x14ac:dyDescent="0.25">
      <c r="A71" s="1" t="s">
        <v>371</v>
      </c>
      <c r="B71" s="1" t="s">
        <v>21</v>
      </c>
      <c r="C71" s="1" t="s">
        <v>372</v>
      </c>
      <c r="D71" s="1" t="s">
        <v>21</v>
      </c>
      <c r="E71" s="1" t="s">
        <v>373</v>
      </c>
      <c r="F71" s="1" t="s">
        <v>281</v>
      </c>
      <c r="G71" s="1" t="s">
        <v>21</v>
      </c>
      <c r="H71" s="1" t="s">
        <v>21</v>
      </c>
      <c r="I71" s="1" t="s">
        <v>374</v>
      </c>
      <c r="J71" s="1" t="s">
        <v>375</v>
      </c>
      <c r="L71" s="1" t="s">
        <v>21</v>
      </c>
      <c r="N71" s="1" t="s">
        <v>21</v>
      </c>
      <c r="O71" s="1" t="s">
        <v>376</v>
      </c>
      <c r="P71">
        <v>120</v>
      </c>
      <c r="Q71" s="1" t="s">
        <v>48</v>
      </c>
      <c r="R71" s="1" t="s">
        <v>28</v>
      </c>
      <c r="S71" s="1">
        <f t="shared" ca="1" si="1"/>
        <v>0.76813639819459545</v>
      </c>
    </row>
    <row r="72" spans="1:19" x14ac:dyDescent="0.25">
      <c r="A72" s="1" t="s">
        <v>377</v>
      </c>
      <c r="B72" s="1" t="s">
        <v>21</v>
      </c>
      <c r="C72" s="1" t="s">
        <v>378</v>
      </c>
      <c r="D72" s="1" t="s">
        <v>21</v>
      </c>
      <c r="E72" s="1" t="s">
        <v>379</v>
      </c>
      <c r="F72" s="1" t="s">
        <v>361</v>
      </c>
      <c r="G72" s="1" t="s">
        <v>21</v>
      </c>
      <c r="H72" s="1" t="s">
        <v>21</v>
      </c>
      <c r="I72" s="1" t="s">
        <v>380</v>
      </c>
      <c r="J72" s="1" t="s">
        <v>381</v>
      </c>
      <c r="L72" s="1" t="s">
        <v>21</v>
      </c>
      <c r="N72" s="1" t="s">
        <v>21</v>
      </c>
      <c r="O72" s="1" t="s">
        <v>382</v>
      </c>
      <c r="P72">
        <v>0</v>
      </c>
      <c r="Q72" s="1" t="s">
        <v>21</v>
      </c>
      <c r="R72" s="1" t="s">
        <v>28</v>
      </c>
      <c r="S72" s="1">
        <f t="shared" ca="1" si="1"/>
        <v>0.68153809639650664</v>
      </c>
    </row>
    <row r="73" spans="1:19" x14ac:dyDescent="0.25">
      <c r="A73" s="1" t="s">
        <v>383</v>
      </c>
      <c r="B73" s="1" t="s">
        <v>384</v>
      </c>
      <c r="C73" s="1" t="s">
        <v>385</v>
      </c>
      <c r="D73" s="1" t="s">
        <v>21</v>
      </c>
      <c r="E73" s="1" t="s">
        <v>386</v>
      </c>
      <c r="F73" s="1" t="s">
        <v>387</v>
      </c>
      <c r="G73" s="1" t="s">
        <v>21</v>
      </c>
      <c r="H73" s="1" t="s">
        <v>21</v>
      </c>
      <c r="I73" s="1" t="s">
        <v>258</v>
      </c>
      <c r="J73" s="1" t="s">
        <v>388</v>
      </c>
      <c r="L73" s="1" t="s">
        <v>21</v>
      </c>
      <c r="N73" s="1" t="s">
        <v>21</v>
      </c>
      <c r="O73" s="1" t="s">
        <v>389</v>
      </c>
      <c r="P73">
        <v>0.62</v>
      </c>
      <c r="Q73" s="1" t="s">
        <v>390</v>
      </c>
      <c r="R73" s="1" t="s">
        <v>391</v>
      </c>
      <c r="S73" s="1">
        <f t="shared" ca="1" si="1"/>
        <v>0.60827378763967277</v>
      </c>
    </row>
    <row r="74" spans="1:19" x14ac:dyDescent="0.25">
      <c r="A74" s="1" t="s">
        <v>383</v>
      </c>
      <c r="B74" s="1" t="s">
        <v>384</v>
      </c>
      <c r="C74" s="1" t="s">
        <v>392</v>
      </c>
      <c r="D74" s="1" t="s">
        <v>21</v>
      </c>
      <c r="E74" s="1" t="s">
        <v>393</v>
      </c>
      <c r="F74" s="1" t="s">
        <v>387</v>
      </c>
      <c r="G74" s="1" t="s">
        <v>118</v>
      </c>
      <c r="H74" s="1" t="s">
        <v>394</v>
      </c>
      <c r="I74" s="1" t="s">
        <v>171</v>
      </c>
      <c r="J74" s="1" t="s">
        <v>394</v>
      </c>
      <c r="L74" s="1" t="s">
        <v>21</v>
      </c>
      <c r="N74" s="1" t="s">
        <v>21</v>
      </c>
      <c r="O74" s="1" t="s">
        <v>395</v>
      </c>
      <c r="P74">
        <v>0.5</v>
      </c>
      <c r="Q74" s="1" t="s">
        <v>390</v>
      </c>
      <c r="R74" s="1" t="s">
        <v>391</v>
      </c>
      <c r="S74" s="1">
        <f t="shared" ca="1" si="1"/>
        <v>0.58308625014115656</v>
      </c>
    </row>
    <row r="75" spans="1:19" x14ac:dyDescent="0.25">
      <c r="A75" s="1" t="s">
        <v>383</v>
      </c>
      <c r="B75" s="1" t="s">
        <v>384</v>
      </c>
      <c r="C75" s="1" t="s">
        <v>396</v>
      </c>
      <c r="D75" s="1" t="s">
        <v>21</v>
      </c>
      <c r="E75" s="1" t="s">
        <v>397</v>
      </c>
      <c r="F75" s="1" t="s">
        <v>387</v>
      </c>
      <c r="G75" s="1" t="s">
        <v>171</v>
      </c>
      <c r="H75" s="1" t="s">
        <v>394</v>
      </c>
      <c r="I75" s="1" t="s">
        <v>63</v>
      </c>
      <c r="J75" s="1" t="s">
        <v>394</v>
      </c>
      <c r="L75" s="1" t="s">
        <v>21</v>
      </c>
      <c r="N75" s="1" t="s">
        <v>21</v>
      </c>
      <c r="O75" s="1" t="s">
        <v>195</v>
      </c>
      <c r="P75">
        <v>1.1000000000000001</v>
      </c>
      <c r="Q75" s="1" t="s">
        <v>390</v>
      </c>
      <c r="R75" s="1" t="s">
        <v>391</v>
      </c>
      <c r="S75" s="1">
        <f t="shared" ca="1" si="1"/>
        <v>0.39895710052847477</v>
      </c>
    </row>
    <row r="76" spans="1:19" x14ac:dyDescent="0.25">
      <c r="A76" s="1" t="s">
        <v>383</v>
      </c>
      <c r="B76" s="1" t="s">
        <v>384</v>
      </c>
      <c r="C76" s="1" t="s">
        <v>398</v>
      </c>
      <c r="D76" s="1" t="s">
        <v>21</v>
      </c>
      <c r="E76" s="1" t="s">
        <v>399</v>
      </c>
      <c r="F76" s="1" t="s">
        <v>387</v>
      </c>
      <c r="G76" s="1" t="s">
        <v>63</v>
      </c>
      <c r="H76" s="1" t="s">
        <v>394</v>
      </c>
      <c r="I76" s="1" t="s">
        <v>258</v>
      </c>
      <c r="J76" s="1" t="s">
        <v>394</v>
      </c>
      <c r="L76" s="1" t="s">
        <v>21</v>
      </c>
      <c r="N76" s="1" t="s">
        <v>21</v>
      </c>
      <c r="O76" s="1" t="s">
        <v>400</v>
      </c>
      <c r="P76">
        <v>39</v>
      </c>
      <c r="Q76" s="1" t="s">
        <v>390</v>
      </c>
      <c r="R76" s="1" t="s">
        <v>391</v>
      </c>
      <c r="S76" s="1">
        <f t="shared" ca="1" si="1"/>
        <v>0.60301226159840582</v>
      </c>
    </row>
    <row r="77" spans="1:19" x14ac:dyDescent="0.25">
      <c r="A77" s="1" t="s">
        <v>383</v>
      </c>
      <c r="B77" s="1" t="s">
        <v>384</v>
      </c>
      <c r="C77" s="1" t="s">
        <v>401</v>
      </c>
      <c r="D77" s="1" t="s">
        <v>21</v>
      </c>
      <c r="E77" s="1" t="s">
        <v>402</v>
      </c>
      <c r="F77" s="1" t="s">
        <v>387</v>
      </c>
      <c r="G77" s="1" t="s">
        <v>258</v>
      </c>
      <c r="H77" s="1" t="s">
        <v>394</v>
      </c>
      <c r="I77" s="1" t="s">
        <v>403</v>
      </c>
      <c r="J77" s="1" t="s">
        <v>394</v>
      </c>
      <c r="L77" s="1" t="s">
        <v>21</v>
      </c>
      <c r="N77" s="1" t="s">
        <v>21</v>
      </c>
      <c r="O77" s="1" t="s">
        <v>404</v>
      </c>
      <c r="P77">
        <v>120</v>
      </c>
      <c r="Q77" s="1" t="s">
        <v>390</v>
      </c>
      <c r="R77" s="1" t="s">
        <v>391</v>
      </c>
      <c r="S77" s="1">
        <f t="shared" ca="1" si="1"/>
        <v>8.0044759865474213E-2</v>
      </c>
    </row>
    <row r="78" spans="1:19" x14ac:dyDescent="0.25">
      <c r="A78" s="1" t="s">
        <v>383</v>
      </c>
      <c r="B78" s="1" t="s">
        <v>405</v>
      </c>
      <c r="C78" s="1" t="s">
        <v>385</v>
      </c>
      <c r="D78" s="1" t="s">
        <v>21</v>
      </c>
      <c r="E78" s="1" t="s">
        <v>386</v>
      </c>
      <c r="F78" s="1" t="s">
        <v>406</v>
      </c>
      <c r="G78" s="1" t="s">
        <v>21</v>
      </c>
      <c r="H78" s="1" t="s">
        <v>21</v>
      </c>
      <c r="I78" s="1" t="s">
        <v>258</v>
      </c>
      <c r="J78" s="1" t="s">
        <v>388</v>
      </c>
      <c r="L78" s="1" t="s">
        <v>21</v>
      </c>
      <c r="N78" s="1" t="s">
        <v>21</v>
      </c>
      <c r="O78" s="1" t="s">
        <v>389</v>
      </c>
      <c r="P78">
        <v>0.62</v>
      </c>
      <c r="Q78" s="1" t="s">
        <v>390</v>
      </c>
      <c r="R78" s="1" t="s">
        <v>391</v>
      </c>
      <c r="S78" s="1">
        <f t="shared" ca="1" si="1"/>
        <v>0.98249720956735664</v>
      </c>
    </row>
    <row r="79" spans="1:19" x14ac:dyDescent="0.25">
      <c r="A79" s="1" t="s">
        <v>383</v>
      </c>
      <c r="B79" s="1" t="s">
        <v>405</v>
      </c>
      <c r="C79" s="1" t="s">
        <v>392</v>
      </c>
      <c r="D79" s="1" t="s">
        <v>21</v>
      </c>
      <c r="E79" s="1" t="s">
        <v>393</v>
      </c>
      <c r="F79" s="1" t="s">
        <v>406</v>
      </c>
      <c r="G79" s="1" t="s">
        <v>118</v>
      </c>
      <c r="H79" s="1" t="s">
        <v>394</v>
      </c>
      <c r="I79" s="1" t="s">
        <v>171</v>
      </c>
      <c r="J79" s="1" t="s">
        <v>394</v>
      </c>
      <c r="L79" s="1" t="s">
        <v>21</v>
      </c>
      <c r="N79" s="1" t="s">
        <v>21</v>
      </c>
      <c r="O79" s="1" t="s">
        <v>395</v>
      </c>
      <c r="P79">
        <v>0.5</v>
      </c>
      <c r="Q79" s="1" t="s">
        <v>390</v>
      </c>
      <c r="R79" s="1" t="s">
        <v>391</v>
      </c>
      <c r="S79" s="1">
        <f t="shared" ca="1" si="1"/>
        <v>0.36641244487097502</v>
      </c>
    </row>
    <row r="80" spans="1:19" x14ac:dyDescent="0.25">
      <c r="A80" s="1" t="s">
        <v>383</v>
      </c>
      <c r="B80" s="1" t="s">
        <v>405</v>
      </c>
      <c r="C80" s="1" t="s">
        <v>396</v>
      </c>
      <c r="D80" s="1" t="s">
        <v>21</v>
      </c>
      <c r="E80" s="1" t="s">
        <v>397</v>
      </c>
      <c r="F80" s="1" t="s">
        <v>406</v>
      </c>
      <c r="G80" s="1" t="s">
        <v>171</v>
      </c>
      <c r="H80" s="1" t="s">
        <v>394</v>
      </c>
      <c r="I80" s="1" t="s">
        <v>63</v>
      </c>
      <c r="J80" s="1" t="s">
        <v>394</v>
      </c>
      <c r="L80" s="1" t="s">
        <v>21</v>
      </c>
      <c r="N80" s="1" t="s">
        <v>21</v>
      </c>
      <c r="O80" s="1" t="s">
        <v>195</v>
      </c>
      <c r="P80">
        <v>1.1000000000000001</v>
      </c>
      <c r="Q80" s="1" t="s">
        <v>390</v>
      </c>
      <c r="R80" s="1" t="s">
        <v>391</v>
      </c>
      <c r="S80" s="1">
        <f t="shared" ca="1" si="1"/>
        <v>0.96083842749400872</v>
      </c>
    </row>
    <row r="81" spans="1:19" x14ac:dyDescent="0.25">
      <c r="A81" s="1" t="s">
        <v>383</v>
      </c>
      <c r="B81" s="1" t="s">
        <v>405</v>
      </c>
      <c r="C81" s="1" t="s">
        <v>398</v>
      </c>
      <c r="D81" s="1" t="s">
        <v>21</v>
      </c>
      <c r="E81" s="1" t="s">
        <v>399</v>
      </c>
      <c r="F81" s="1" t="s">
        <v>406</v>
      </c>
      <c r="G81" s="1" t="s">
        <v>63</v>
      </c>
      <c r="H81" s="1" t="s">
        <v>394</v>
      </c>
      <c r="I81" s="1" t="s">
        <v>258</v>
      </c>
      <c r="J81" s="1" t="s">
        <v>394</v>
      </c>
      <c r="L81" s="1" t="s">
        <v>21</v>
      </c>
      <c r="N81" s="1" t="s">
        <v>21</v>
      </c>
      <c r="O81" s="1" t="s">
        <v>400</v>
      </c>
      <c r="P81">
        <v>39</v>
      </c>
      <c r="Q81" s="1" t="s">
        <v>390</v>
      </c>
      <c r="R81" s="1" t="s">
        <v>391</v>
      </c>
      <c r="S81" s="1">
        <f t="shared" ca="1" si="1"/>
        <v>0.27019564600088819</v>
      </c>
    </row>
    <row r="82" spans="1:19" x14ac:dyDescent="0.25">
      <c r="A82" s="1" t="s">
        <v>383</v>
      </c>
      <c r="B82" s="1" t="s">
        <v>405</v>
      </c>
      <c r="C82" s="1" t="s">
        <v>401</v>
      </c>
      <c r="D82" s="1" t="s">
        <v>21</v>
      </c>
      <c r="E82" s="1" t="s">
        <v>402</v>
      </c>
      <c r="F82" s="1" t="s">
        <v>406</v>
      </c>
      <c r="G82" s="1" t="s">
        <v>258</v>
      </c>
      <c r="H82" s="1" t="s">
        <v>394</v>
      </c>
      <c r="I82" s="1" t="s">
        <v>403</v>
      </c>
      <c r="J82" s="1" t="s">
        <v>394</v>
      </c>
      <c r="L82" s="1" t="s">
        <v>21</v>
      </c>
      <c r="N82" s="1" t="s">
        <v>21</v>
      </c>
      <c r="O82" s="1" t="s">
        <v>404</v>
      </c>
      <c r="P82">
        <v>120</v>
      </c>
      <c r="Q82" s="1" t="s">
        <v>390</v>
      </c>
      <c r="R82" s="1" t="s">
        <v>391</v>
      </c>
      <c r="S82" s="1">
        <f t="shared" ca="1" si="1"/>
        <v>0.79896718664571598</v>
      </c>
    </row>
    <row r="83" spans="1:19" x14ac:dyDescent="0.25">
      <c r="A83" s="1" t="s">
        <v>407</v>
      </c>
      <c r="B83" s="1" t="s">
        <v>384</v>
      </c>
      <c r="C83" s="1" t="s">
        <v>408</v>
      </c>
      <c r="D83" s="1" t="s">
        <v>21</v>
      </c>
      <c r="E83" s="1" t="s">
        <v>409</v>
      </c>
      <c r="F83" s="1" t="s">
        <v>387</v>
      </c>
      <c r="G83" s="1" t="s">
        <v>21</v>
      </c>
      <c r="H83" s="1" t="s">
        <v>21</v>
      </c>
      <c r="I83" s="1" t="s">
        <v>258</v>
      </c>
      <c r="J83" s="1" t="s">
        <v>410</v>
      </c>
      <c r="L83" s="1" t="s">
        <v>21</v>
      </c>
      <c r="N83" s="1" t="s">
        <v>21</v>
      </c>
      <c r="O83" s="1" t="s">
        <v>411</v>
      </c>
      <c r="P83">
        <v>4.7E-2</v>
      </c>
      <c r="Q83" s="1" t="s">
        <v>412</v>
      </c>
      <c r="R83" s="1" t="s">
        <v>410</v>
      </c>
      <c r="S83" s="1">
        <f t="shared" ca="1" si="1"/>
        <v>0.8542086516508518</v>
      </c>
    </row>
    <row r="84" spans="1:19" x14ac:dyDescent="0.25">
      <c r="A84" s="1" t="s">
        <v>407</v>
      </c>
      <c r="B84" s="1" t="s">
        <v>384</v>
      </c>
      <c r="C84" s="1" t="s">
        <v>413</v>
      </c>
      <c r="D84" s="1" t="s">
        <v>21</v>
      </c>
      <c r="E84" s="1" t="s">
        <v>414</v>
      </c>
      <c r="F84" s="1" t="s">
        <v>387</v>
      </c>
      <c r="G84" s="1" t="s">
        <v>258</v>
      </c>
      <c r="H84" s="1" t="s">
        <v>410</v>
      </c>
      <c r="I84" s="1" t="s">
        <v>171</v>
      </c>
      <c r="J84" s="1" t="s">
        <v>415</v>
      </c>
      <c r="L84" s="1" t="s">
        <v>21</v>
      </c>
      <c r="N84" s="1" t="s">
        <v>21</v>
      </c>
      <c r="O84" s="1" t="s">
        <v>416</v>
      </c>
      <c r="P84">
        <v>4.8000000000000001E-2</v>
      </c>
      <c r="Q84" s="1" t="s">
        <v>412</v>
      </c>
      <c r="R84" s="1" t="s">
        <v>410</v>
      </c>
      <c r="S84" s="1">
        <f t="shared" ca="1" si="1"/>
        <v>0.49281010826162619</v>
      </c>
    </row>
    <row r="85" spans="1:19" x14ac:dyDescent="0.25">
      <c r="A85" s="1" t="s">
        <v>407</v>
      </c>
      <c r="B85" s="1" t="s">
        <v>384</v>
      </c>
      <c r="C85" s="1" t="s">
        <v>417</v>
      </c>
      <c r="D85" s="1" t="s">
        <v>21</v>
      </c>
      <c r="E85" s="1" t="s">
        <v>418</v>
      </c>
      <c r="F85" s="1" t="s">
        <v>387</v>
      </c>
      <c r="G85" s="1" t="s">
        <v>171</v>
      </c>
      <c r="H85" s="1" t="s">
        <v>415</v>
      </c>
      <c r="I85" s="1" t="s">
        <v>63</v>
      </c>
      <c r="J85" s="1" t="s">
        <v>415</v>
      </c>
      <c r="L85" s="1" t="s">
        <v>21</v>
      </c>
      <c r="N85" s="1" t="s">
        <v>21</v>
      </c>
      <c r="O85" s="1" t="s">
        <v>416</v>
      </c>
      <c r="P85">
        <v>0.12</v>
      </c>
      <c r="Q85" s="1" t="s">
        <v>412</v>
      </c>
      <c r="R85" s="1" t="s">
        <v>410</v>
      </c>
      <c r="S85" s="1">
        <f t="shared" ca="1" si="1"/>
        <v>0.26531982984669633</v>
      </c>
    </row>
    <row r="86" spans="1:19" x14ac:dyDescent="0.25">
      <c r="A86" s="1" t="s">
        <v>407</v>
      </c>
      <c r="B86" s="1" t="s">
        <v>384</v>
      </c>
      <c r="C86" s="1" t="s">
        <v>419</v>
      </c>
      <c r="D86" s="1" t="s">
        <v>21</v>
      </c>
      <c r="E86" s="1" t="s">
        <v>420</v>
      </c>
      <c r="F86" s="1" t="s">
        <v>387</v>
      </c>
      <c r="G86" s="1" t="s">
        <v>63</v>
      </c>
      <c r="H86" s="1" t="s">
        <v>415</v>
      </c>
      <c r="I86" s="1" t="s">
        <v>258</v>
      </c>
      <c r="J86" s="1" t="s">
        <v>415</v>
      </c>
      <c r="L86" s="1" t="s">
        <v>21</v>
      </c>
      <c r="N86" s="1" t="s">
        <v>21</v>
      </c>
      <c r="O86" s="1" t="s">
        <v>416</v>
      </c>
      <c r="P86">
        <v>0.11</v>
      </c>
      <c r="Q86" s="1" t="s">
        <v>412</v>
      </c>
      <c r="R86" s="1" t="s">
        <v>410</v>
      </c>
      <c r="S86" s="1">
        <f t="shared" ca="1" si="1"/>
        <v>0.98317646521721969</v>
      </c>
    </row>
    <row r="87" spans="1:19" x14ac:dyDescent="0.25">
      <c r="A87" s="1" t="s">
        <v>407</v>
      </c>
      <c r="B87" s="1" t="s">
        <v>384</v>
      </c>
      <c r="C87" s="1" t="s">
        <v>421</v>
      </c>
      <c r="D87" s="1" t="s">
        <v>21</v>
      </c>
      <c r="E87" s="1" t="s">
        <v>422</v>
      </c>
      <c r="F87" s="1" t="s">
        <v>387</v>
      </c>
      <c r="G87" s="1" t="s">
        <v>118</v>
      </c>
      <c r="H87" s="1" t="s">
        <v>423</v>
      </c>
      <c r="I87" s="1" t="s">
        <v>171</v>
      </c>
      <c r="J87" s="1" t="s">
        <v>423</v>
      </c>
      <c r="L87" s="1" t="s">
        <v>21</v>
      </c>
      <c r="N87" s="1" t="s">
        <v>21</v>
      </c>
      <c r="O87" s="1" t="s">
        <v>416</v>
      </c>
      <c r="P87">
        <v>5.9</v>
      </c>
      <c r="Q87" s="1" t="s">
        <v>412</v>
      </c>
      <c r="R87" s="1" t="s">
        <v>410</v>
      </c>
      <c r="S87" s="1">
        <f t="shared" ca="1" si="1"/>
        <v>0.25359692639145937</v>
      </c>
    </row>
    <row r="88" spans="1:19" x14ac:dyDescent="0.25">
      <c r="A88" s="1" t="s">
        <v>407</v>
      </c>
      <c r="B88" s="1" t="s">
        <v>384</v>
      </c>
      <c r="C88" s="1" t="s">
        <v>424</v>
      </c>
      <c r="D88" s="1" t="s">
        <v>21</v>
      </c>
      <c r="E88" s="1" t="s">
        <v>425</v>
      </c>
      <c r="F88" s="1" t="s">
        <v>387</v>
      </c>
      <c r="G88" s="1" t="s">
        <v>171</v>
      </c>
      <c r="H88" s="1" t="s">
        <v>423</v>
      </c>
      <c r="I88" s="1" t="s">
        <v>63</v>
      </c>
      <c r="J88" s="1" t="s">
        <v>423</v>
      </c>
      <c r="L88" s="1" t="s">
        <v>21</v>
      </c>
      <c r="N88" s="1" t="s">
        <v>21</v>
      </c>
      <c r="O88" s="1" t="s">
        <v>416</v>
      </c>
      <c r="P88">
        <v>59</v>
      </c>
      <c r="Q88" s="1" t="s">
        <v>412</v>
      </c>
      <c r="R88" s="1" t="s">
        <v>410</v>
      </c>
      <c r="S88" s="1">
        <f t="shared" ca="1" si="1"/>
        <v>0.90750059090664204</v>
      </c>
    </row>
    <row r="89" spans="1:19" x14ac:dyDescent="0.25">
      <c r="A89" s="1" t="s">
        <v>407</v>
      </c>
      <c r="B89" s="1" t="s">
        <v>384</v>
      </c>
      <c r="C89" s="1" t="s">
        <v>426</v>
      </c>
      <c r="D89" s="1" t="s">
        <v>21</v>
      </c>
      <c r="E89" s="1" t="s">
        <v>427</v>
      </c>
      <c r="F89" s="1" t="s">
        <v>387</v>
      </c>
      <c r="G89" s="1" t="s">
        <v>63</v>
      </c>
      <c r="H89" s="1" t="s">
        <v>423</v>
      </c>
      <c r="I89" s="1" t="s">
        <v>258</v>
      </c>
      <c r="J89" s="1" t="s">
        <v>423</v>
      </c>
      <c r="L89" s="1" t="s">
        <v>21</v>
      </c>
      <c r="N89" s="1" t="s">
        <v>21</v>
      </c>
      <c r="O89" s="1" t="s">
        <v>428</v>
      </c>
      <c r="P89">
        <v>0.63</v>
      </c>
      <c r="Q89" s="1" t="s">
        <v>412</v>
      </c>
      <c r="R89" s="1" t="s">
        <v>415</v>
      </c>
      <c r="S89" s="1">
        <f t="shared" ca="1" si="1"/>
        <v>0.1409088290634597</v>
      </c>
    </row>
    <row r="90" spans="1:19" x14ac:dyDescent="0.25">
      <c r="A90" s="1" t="s">
        <v>407</v>
      </c>
      <c r="B90" s="1" t="s">
        <v>384</v>
      </c>
      <c r="C90" s="1" t="s">
        <v>429</v>
      </c>
      <c r="D90" s="1" t="s">
        <v>21</v>
      </c>
      <c r="E90" s="1" t="s">
        <v>430</v>
      </c>
      <c r="F90" s="1" t="s">
        <v>387</v>
      </c>
      <c r="G90" s="1" t="s">
        <v>258</v>
      </c>
      <c r="H90" s="1" t="s">
        <v>423</v>
      </c>
      <c r="I90" s="1" t="s">
        <v>171</v>
      </c>
      <c r="J90" s="1" t="s">
        <v>431</v>
      </c>
      <c r="L90" s="1" t="s">
        <v>21</v>
      </c>
      <c r="N90" s="1" t="s">
        <v>21</v>
      </c>
      <c r="O90" s="1" t="s">
        <v>432</v>
      </c>
      <c r="P90">
        <v>12</v>
      </c>
      <c r="Q90" s="1" t="s">
        <v>412</v>
      </c>
      <c r="R90" s="1" t="s">
        <v>415</v>
      </c>
      <c r="S90" s="1">
        <f t="shared" ca="1" si="1"/>
        <v>0.29468886634380009</v>
      </c>
    </row>
    <row r="91" spans="1:19" x14ac:dyDescent="0.25">
      <c r="A91" s="1" t="s">
        <v>407</v>
      </c>
      <c r="B91" s="1" t="s">
        <v>384</v>
      </c>
      <c r="C91" s="1" t="s">
        <v>433</v>
      </c>
      <c r="D91" s="1" t="s">
        <v>21</v>
      </c>
      <c r="E91" s="1" t="s">
        <v>434</v>
      </c>
      <c r="F91" s="1" t="s">
        <v>435</v>
      </c>
      <c r="G91" s="1" t="s">
        <v>171</v>
      </c>
      <c r="H91" s="1" t="s">
        <v>431</v>
      </c>
      <c r="I91" s="1" t="s">
        <v>124</v>
      </c>
      <c r="J91" s="1" t="s">
        <v>431</v>
      </c>
      <c r="L91" s="1" t="s">
        <v>21</v>
      </c>
      <c r="N91" s="1" t="s">
        <v>21</v>
      </c>
      <c r="O91" s="1" t="s">
        <v>395</v>
      </c>
      <c r="P91">
        <v>110</v>
      </c>
      <c r="Q91" s="1" t="s">
        <v>412</v>
      </c>
      <c r="R91" s="1" t="s">
        <v>415</v>
      </c>
      <c r="S91" s="1">
        <f t="shared" ca="1" si="1"/>
        <v>0.99462167628869613</v>
      </c>
    </row>
    <row r="92" spans="1:19" x14ac:dyDescent="0.25">
      <c r="A92" s="1" t="s">
        <v>407</v>
      </c>
      <c r="B92" s="1" t="s">
        <v>405</v>
      </c>
      <c r="C92" s="1" t="s">
        <v>408</v>
      </c>
      <c r="D92" s="1" t="s">
        <v>21</v>
      </c>
      <c r="E92" s="1" t="s">
        <v>409</v>
      </c>
      <c r="F92" s="1" t="s">
        <v>406</v>
      </c>
      <c r="G92" s="1" t="s">
        <v>21</v>
      </c>
      <c r="H92" s="1" t="s">
        <v>21</v>
      </c>
      <c r="I92" s="1" t="s">
        <v>258</v>
      </c>
      <c r="J92" s="1" t="s">
        <v>410</v>
      </c>
      <c r="L92" s="1" t="s">
        <v>21</v>
      </c>
      <c r="N92" s="1" t="s">
        <v>21</v>
      </c>
      <c r="O92" s="1" t="s">
        <v>411</v>
      </c>
      <c r="P92">
        <v>4.7E-2</v>
      </c>
      <c r="Q92" s="1" t="s">
        <v>412</v>
      </c>
      <c r="R92" s="1" t="s">
        <v>410</v>
      </c>
      <c r="S92" s="1">
        <f t="shared" ca="1" si="1"/>
        <v>0.29413195173247997</v>
      </c>
    </row>
    <row r="93" spans="1:19" x14ac:dyDescent="0.25">
      <c r="A93" s="1" t="s">
        <v>407</v>
      </c>
      <c r="B93" s="1" t="s">
        <v>405</v>
      </c>
      <c r="C93" s="1" t="s">
        <v>413</v>
      </c>
      <c r="D93" s="1" t="s">
        <v>21</v>
      </c>
      <c r="E93" s="1" t="s">
        <v>414</v>
      </c>
      <c r="F93" s="1" t="s">
        <v>406</v>
      </c>
      <c r="G93" s="1" t="s">
        <v>258</v>
      </c>
      <c r="H93" s="1" t="s">
        <v>410</v>
      </c>
      <c r="I93" s="1" t="s">
        <v>171</v>
      </c>
      <c r="J93" s="1" t="s">
        <v>415</v>
      </c>
      <c r="L93" s="1" t="s">
        <v>21</v>
      </c>
      <c r="N93" s="1" t="s">
        <v>21</v>
      </c>
      <c r="O93" s="1" t="s">
        <v>416</v>
      </c>
      <c r="P93">
        <v>4.8000000000000001E-2</v>
      </c>
      <c r="Q93" s="1" t="s">
        <v>412</v>
      </c>
      <c r="R93" s="1" t="s">
        <v>410</v>
      </c>
      <c r="S93" s="1">
        <f t="shared" ca="1" si="1"/>
        <v>0.35114126802251688</v>
      </c>
    </row>
    <row r="94" spans="1:19" x14ac:dyDescent="0.25">
      <c r="A94" s="1" t="s">
        <v>407</v>
      </c>
      <c r="B94" s="1" t="s">
        <v>405</v>
      </c>
      <c r="C94" s="1" t="s">
        <v>417</v>
      </c>
      <c r="D94" s="1" t="s">
        <v>21</v>
      </c>
      <c r="E94" s="1" t="s">
        <v>418</v>
      </c>
      <c r="F94" s="1" t="s">
        <v>406</v>
      </c>
      <c r="G94" s="1" t="s">
        <v>171</v>
      </c>
      <c r="H94" s="1" t="s">
        <v>415</v>
      </c>
      <c r="I94" s="1" t="s">
        <v>63</v>
      </c>
      <c r="J94" s="1" t="s">
        <v>415</v>
      </c>
      <c r="L94" s="1" t="s">
        <v>21</v>
      </c>
      <c r="N94" s="1" t="s">
        <v>21</v>
      </c>
      <c r="O94" s="1" t="s">
        <v>416</v>
      </c>
      <c r="P94">
        <v>0.12</v>
      </c>
      <c r="Q94" s="1" t="s">
        <v>412</v>
      </c>
      <c r="R94" s="1" t="s">
        <v>410</v>
      </c>
      <c r="S94" s="1">
        <f t="shared" ca="1" si="1"/>
        <v>1.6862113412842161E-2</v>
      </c>
    </row>
    <row r="95" spans="1:19" x14ac:dyDescent="0.25">
      <c r="A95" s="1" t="s">
        <v>407</v>
      </c>
      <c r="B95" s="1" t="s">
        <v>405</v>
      </c>
      <c r="C95" s="1" t="s">
        <v>419</v>
      </c>
      <c r="D95" s="1" t="s">
        <v>21</v>
      </c>
      <c r="E95" s="1" t="s">
        <v>420</v>
      </c>
      <c r="F95" s="1" t="s">
        <v>406</v>
      </c>
      <c r="G95" s="1" t="s">
        <v>63</v>
      </c>
      <c r="H95" s="1" t="s">
        <v>415</v>
      </c>
      <c r="I95" s="1" t="s">
        <v>258</v>
      </c>
      <c r="J95" s="1" t="s">
        <v>415</v>
      </c>
      <c r="L95" s="1" t="s">
        <v>21</v>
      </c>
      <c r="N95" s="1" t="s">
        <v>21</v>
      </c>
      <c r="O95" s="1" t="s">
        <v>416</v>
      </c>
      <c r="P95">
        <v>0.11</v>
      </c>
      <c r="Q95" s="1" t="s">
        <v>412</v>
      </c>
      <c r="R95" s="1" t="s">
        <v>410</v>
      </c>
      <c r="S95" s="1">
        <f t="shared" ca="1" si="1"/>
        <v>0.44497651508011771</v>
      </c>
    </row>
    <row r="96" spans="1:19" x14ac:dyDescent="0.25">
      <c r="A96" s="1" t="s">
        <v>407</v>
      </c>
      <c r="B96" s="1" t="s">
        <v>405</v>
      </c>
      <c r="C96" s="1" t="s">
        <v>421</v>
      </c>
      <c r="D96" s="1" t="s">
        <v>21</v>
      </c>
      <c r="E96" s="1" t="s">
        <v>422</v>
      </c>
      <c r="F96" s="1" t="s">
        <v>406</v>
      </c>
      <c r="G96" s="1" t="s">
        <v>118</v>
      </c>
      <c r="H96" s="1" t="s">
        <v>423</v>
      </c>
      <c r="I96" s="1" t="s">
        <v>171</v>
      </c>
      <c r="J96" s="1" t="s">
        <v>423</v>
      </c>
      <c r="L96" s="1" t="s">
        <v>21</v>
      </c>
      <c r="N96" s="1" t="s">
        <v>21</v>
      </c>
      <c r="O96" s="1" t="s">
        <v>416</v>
      </c>
      <c r="P96">
        <v>5.9</v>
      </c>
      <c r="Q96" s="1" t="s">
        <v>412</v>
      </c>
      <c r="R96" s="1" t="s">
        <v>410</v>
      </c>
      <c r="S96" s="1">
        <f t="shared" ca="1" si="1"/>
        <v>4.092375591296149E-2</v>
      </c>
    </row>
    <row r="97" spans="1:19" x14ac:dyDescent="0.25">
      <c r="A97" s="1" t="s">
        <v>407</v>
      </c>
      <c r="B97" s="1" t="s">
        <v>405</v>
      </c>
      <c r="C97" s="1" t="s">
        <v>424</v>
      </c>
      <c r="D97" s="1" t="s">
        <v>21</v>
      </c>
      <c r="E97" s="1" t="s">
        <v>425</v>
      </c>
      <c r="F97" s="1" t="s">
        <v>406</v>
      </c>
      <c r="G97" s="1" t="s">
        <v>171</v>
      </c>
      <c r="H97" s="1" t="s">
        <v>423</v>
      </c>
      <c r="I97" s="1" t="s">
        <v>63</v>
      </c>
      <c r="J97" s="1" t="s">
        <v>423</v>
      </c>
      <c r="L97" s="1" t="s">
        <v>21</v>
      </c>
      <c r="N97" s="1" t="s">
        <v>21</v>
      </c>
      <c r="O97" s="1" t="s">
        <v>416</v>
      </c>
      <c r="P97">
        <v>59</v>
      </c>
      <c r="Q97" s="1" t="s">
        <v>412</v>
      </c>
      <c r="R97" s="1" t="s">
        <v>410</v>
      </c>
      <c r="S97" s="1">
        <f t="shared" ca="1" si="1"/>
        <v>0.7533425976955086</v>
      </c>
    </row>
    <row r="98" spans="1:19" x14ac:dyDescent="0.25">
      <c r="A98" s="1" t="s">
        <v>407</v>
      </c>
      <c r="B98" s="1" t="s">
        <v>405</v>
      </c>
      <c r="C98" s="1" t="s">
        <v>426</v>
      </c>
      <c r="D98" s="1" t="s">
        <v>21</v>
      </c>
      <c r="E98" s="1" t="s">
        <v>427</v>
      </c>
      <c r="F98" s="1" t="s">
        <v>406</v>
      </c>
      <c r="G98" s="1" t="s">
        <v>63</v>
      </c>
      <c r="H98" s="1" t="s">
        <v>423</v>
      </c>
      <c r="I98" s="1" t="s">
        <v>258</v>
      </c>
      <c r="J98" s="1" t="s">
        <v>423</v>
      </c>
      <c r="L98" s="1" t="s">
        <v>21</v>
      </c>
      <c r="N98" s="1" t="s">
        <v>21</v>
      </c>
      <c r="O98" s="1" t="s">
        <v>428</v>
      </c>
      <c r="P98">
        <v>0.63</v>
      </c>
      <c r="Q98" s="1" t="s">
        <v>412</v>
      </c>
      <c r="R98" s="1" t="s">
        <v>415</v>
      </c>
      <c r="S98" s="1">
        <f t="shared" ca="1" si="1"/>
        <v>0.81131015268263229</v>
      </c>
    </row>
    <row r="99" spans="1:19" x14ac:dyDescent="0.25">
      <c r="A99" s="1" t="s">
        <v>407</v>
      </c>
      <c r="B99" s="1" t="s">
        <v>405</v>
      </c>
      <c r="C99" s="1" t="s">
        <v>429</v>
      </c>
      <c r="D99" s="1" t="s">
        <v>21</v>
      </c>
      <c r="E99" s="1" t="s">
        <v>430</v>
      </c>
      <c r="F99" s="1" t="s">
        <v>406</v>
      </c>
      <c r="G99" s="1" t="s">
        <v>258</v>
      </c>
      <c r="H99" s="1" t="s">
        <v>423</v>
      </c>
      <c r="I99" s="1" t="s">
        <v>171</v>
      </c>
      <c r="J99" s="1" t="s">
        <v>431</v>
      </c>
      <c r="L99" s="1" t="s">
        <v>21</v>
      </c>
      <c r="N99" s="1" t="s">
        <v>21</v>
      </c>
      <c r="O99" s="1" t="s">
        <v>432</v>
      </c>
      <c r="P99">
        <v>12</v>
      </c>
      <c r="Q99" s="1" t="s">
        <v>412</v>
      </c>
      <c r="R99" s="1" t="s">
        <v>415</v>
      </c>
      <c r="S99" s="1">
        <f t="shared" ca="1" si="1"/>
        <v>0.78867348908694479</v>
      </c>
    </row>
    <row r="100" spans="1:19" x14ac:dyDescent="0.25">
      <c r="A100" s="1" t="s">
        <v>407</v>
      </c>
      <c r="B100" s="1" t="s">
        <v>405</v>
      </c>
      <c r="C100" s="1" t="s">
        <v>433</v>
      </c>
      <c r="D100" s="1" t="s">
        <v>21</v>
      </c>
      <c r="E100" s="1" t="s">
        <v>434</v>
      </c>
      <c r="F100" s="1" t="s">
        <v>436</v>
      </c>
      <c r="G100" s="1" t="s">
        <v>171</v>
      </c>
      <c r="H100" s="1" t="s">
        <v>431</v>
      </c>
      <c r="I100" s="1" t="s">
        <v>124</v>
      </c>
      <c r="J100" s="1" t="s">
        <v>431</v>
      </c>
      <c r="L100" s="1" t="s">
        <v>21</v>
      </c>
      <c r="N100" s="1" t="s">
        <v>21</v>
      </c>
      <c r="O100" s="1" t="s">
        <v>395</v>
      </c>
      <c r="P100">
        <v>110</v>
      </c>
      <c r="Q100" s="1" t="s">
        <v>412</v>
      </c>
      <c r="R100" s="1" t="s">
        <v>415</v>
      </c>
      <c r="S100" s="1">
        <f t="shared" ca="1" si="1"/>
        <v>0.94612387419280664</v>
      </c>
    </row>
    <row r="101" spans="1:19" x14ac:dyDescent="0.25">
      <c r="A101" s="1" t="s">
        <v>407</v>
      </c>
      <c r="B101" s="1" t="s">
        <v>405</v>
      </c>
      <c r="C101" s="1" t="s">
        <v>437</v>
      </c>
      <c r="D101" s="1" t="s">
        <v>21</v>
      </c>
      <c r="E101" s="1" t="s">
        <v>438</v>
      </c>
      <c r="F101" s="1" t="s">
        <v>439</v>
      </c>
      <c r="G101" s="1" t="s">
        <v>194</v>
      </c>
      <c r="H101" s="1" t="s">
        <v>431</v>
      </c>
      <c r="I101" s="1" t="s">
        <v>440</v>
      </c>
      <c r="J101" s="1" t="s">
        <v>431</v>
      </c>
      <c r="L101" s="1" t="s">
        <v>21</v>
      </c>
      <c r="N101" s="1" t="s">
        <v>21</v>
      </c>
      <c r="O101" s="1" t="s">
        <v>441</v>
      </c>
      <c r="P101">
        <v>1.6</v>
      </c>
      <c r="Q101" s="1" t="s">
        <v>338</v>
      </c>
      <c r="R101" s="1" t="s">
        <v>423</v>
      </c>
      <c r="S101" s="1">
        <f t="shared" ca="1" si="1"/>
        <v>3.545804737121927E-2</v>
      </c>
    </row>
    <row r="102" spans="1:19" x14ac:dyDescent="0.25">
      <c r="A102" s="1" t="s">
        <v>407</v>
      </c>
      <c r="B102" s="1" t="s">
        <v>405</v>
      </c>
      <c r="C102" s="1" t="s">
        <v>442</v>
      </c>
      <c r="D102" s="1" t="s">
        <v>21</v>
      </c>
      <c r="E102" s="1" t="s">
        <v>443</v>
      </c>
      <c r="F102" s="1" t="s">
        <v>439</v>
      </c>
      <c r="G102" s="1" t="s">
        <v>440</v>
      </c>
      <c r="H102" s="1" t="s">
        <v>431</v>
      </c>
      <c r="I102" s="1" t="s">
        <v>444</v>
      </c>
      <c r="J102" s="1" t="s">
        <v>431</v>
      </c>
      <c r="L102" s="1" t="s">
        <v>21</v>
      </c>
      <c r="N102" s="1" t="s">
        <v>21</v>
      </c>
      <c r="O102" s="1" t="s">
        <v>445</v>
      </c>
      <c r="P102">
        <v>3.9</v>
      </c>
      <c r="Q102" s="1" t="s">
        <v>338</v>
      </c>
      <c r="R102" s="1" t="s">
        <v>423</v>
      </c>
      <c r="S102" s="1">
        <f t="shared" ca="1" si="1"/>
        <v>0.2440820708781174</v>
      </c>
    </row>
    <row r="103" spans="1:19" x14ac:dyDescent="0.25">
      <c r="A103" s="1" t="s">
        <v>407</v>
      </c>
      <c r="B103" s="1" t="s">
        <v>405</v>
      </c>
      <c r="C103" s="1" t="s">
        <v>446</v>
      </c>
      <c r="D103" s="1" t="s">
        <v>21</v>
      </c>
      <c r="E103" s="1" t="s">
        <v>447</v>
      </c>
      <c r="F103" s="1" t="s">
        <v>439</v>
      </c>
      <c r="G103" s="1" t="s">
        <v>444</v>
      </c>
      <c r="H103" s="1" t="s">
        <v>431</v>
      </c>
      <c r="I103" s="1" t="s">
        <v>448</v>
      </c>
      <c r="J103" s="1" t="s">
        <v>431</v>
      </c>
      <c r="L103" s="1" t="s">
        <v>21</v>
      </c>
      <c r="N103" s="1" t="s">
        <v>21</v>
      </c>
      <c r="O103" s="1" t="s">
        <v>449</v>
      </c>
      <c r="P103">
        <v>6.4</v>
      </c>
      <c r="Q103" s="1" t="s">
        <v>338</v>
      </c>
      <c r="R103" s="1" t="s">
        <v>423</v>
      </c>
      <c r="S103" s="1">
        <f t="shared" ca="1" si="1"/>
        <v>0.20882639800924341</v>
      </c>
    </row>
    <row r="104" spans="1:19" x14ac:dyDescent="0.25">
      <c r="A104" s="1" t="s">
        <v>407</v>
      </c>
      <c r="B104" s="1" t="s">
        <v>405</v>
      </c>
      <c r="C104" s="1" t="s">
        <v>450</v>
      </c>
      <c r="D104" s="1" t="s">
        <v>21</v>
      </c>
      <c r="E104" s="1" t="s">
        <v>451</v>
      </c>
      <c r="F104" s="1" t="s">
        <v>452</v>
      </c>
      <c r="G104" s="1" t="s">
        <v>83</v>
      </c>
      <c r="H104" s="1" t="s">
        <v>431</v>
      </c>
      <c r="I104" s="1" t="s">
        <v>453</v>
      </c>
      <c r="J104" s="1" t="s">
        <v>431</v>
      </c>
      <c r="L104" s="1" t="s">
        <v>21</v>
      </c>
      <c r="N104" s="1" t="s">
        <v>21</v>
      </c>
      <c r="O104" s="1" t="s">
        <v>441</v>
      </c>
      <c r="P104">
        <v>7.7</v>
      </c>
      <c r="Q104" s="1" t="s">
        <v>338</v>
      </c>
      <c r="R104" s="1" t="s">
        <v>423</v>
      </c>
      <c r="S104" s="1">
        <f t="shared" ca="1" si="1"/>
        <v>0.93530666524089856</v>
      </c>
    </row>
    <row r="105" spans="1:19" x14ac:dyDescent="0.25">
      <c r="A105" s="1" t="s">
        <v>407</v>
      </c>
      <c r="B105" s="1" t="s">
        <v>405</v>
      </c>
      <c r="C105" s="1" t="s">
        <v>454</v>
      </c>
      <c r="D105" s="1" t="s">
        <v>21</v>
      </c>
      <c r="E105" s="1" t="s">
        <v>455</v>
      </c>
      <c r="F105" s="1" t="s">
        <v>452</v>
      </c>
      <c r="G105" s="1" t="s">
        <v>453</v>
      </c>
      <c r="H105" s="1" t="s">
        <v>431</v>
      </c>
      <c r="I105" s="1" t="s">
        <v>456</v>
      </c>
      <c r="J105" s="1" t="s">
        <v>431</v>
      </c>
      <c r="L105" s="1" t="s">
        <v>21</v>
      </c>
      <c r="N105" s="1" t="s">
        <v>21</v>
      </c>
      <c r="O105" s="1" t="s">
        <v>457</v>
      </c>
      <c r="P105">
        <v>19</v>
      </c>
      <c r="Q105" s="1" t="s">
        <v>338</v>
      </c>
      <c r="R105" s="1" t="s">
        <v>423</v>
      </c>
      <c r="S105" s="1">
        <f t="shared" ca="1" si="1"/>
        <v>0.53097562882201776</v>
      </c>
    </row>
    <row r="106" spans="1:19" x14ac:dyDescent="0.25">
      <c r="A106" s="1" t="s">
        <v>407</v>
      </c>
      <c r="B106" s="1" t="s">
        <v>405</v>
      </c>
      <c r="C106" s="1" t="s">
        <v>458</v>
      </c>
      <c r="D106" s="1" t="s">
        <v>21</v>
      </c>
      <c r="E106" s="1" t="s">
        <v>459</v>
      </c>
      <c r="F106" s="1" t="s">
        <v>452</v>
      </c>
      <c r="G106" s="1" t="s">
        <v>460</v>
      </c>
      <c r="H106" s="1" t="s">
        <v>431</v>
      </c>
      <c r="I106" s="1" t="s">
        <v>461</v>
      </c>
      <c r="J106" s="1" t="s">
        <v>431</v>
      </c>
      <c r="L106" s="1" t="s">
        <v>21</v>
      </c>
      <c r="N106" s="1" t="s">
        <v>21</v>
      </c>
      <c r="O106" s="1" t="s">
        <v>449</v>
      </c>
      <c r="P106">
        <v>32</v>
      </c>
      <c r="Q106" s="1" t="s">
        <v>338</v>
      </c>
      <c r="R106" s="1" t="s">
        <v>423</v>
      </c>
      <c r="S106" s="1">
        <f t="shared" ca="1" si="1"/>
        <v>5.0068009883162068E-2</v>
      </c>
    </row>
    <row r="107" spans="1:19" x14ac:dyDescent="0.25">
      <c r="A107" s="1" t="s">
        <v>462</v>
      </c>
      <c r="B107" s="1" t="s">
        <v>463</v>
      </c>
      <c r="C107" s="1" t="s">
        <v>464</v>
      </c>
      <c r="D107" s="1" t="s">
        <v>21</v>
      </c>
      <c r="E107" s="1" t="s">
        <v>465</v>
      </c>
      <c r="F107" s="1" t="s">
        <v>466</v>
      </c>
      <c r="G107" s="1" t="s">
        <v>467</v>
      </c>
      <c r="H107" s="1" t="s">
        <v>468</v>
      </c>
      <c r="I107" s="1" t="s">
        <v>171</v>
      </c>
      <c r="J107" s="1" t="s">
        <v>468</v>
      </c>
      <c r="L107" s="1" t="s">
        <v>21</v>
      </c>
      <c r="N107" s="1" t="s">
        <v>21</v>
      </c>
      <c r="O107" s="1" t="s">
        <v>469</v>
      </c>
      <c r="P107">
        <v>2.7</v>
      </c>
      <c r="Q107" s="1" t="s">
        <v>470</v>
      </c>
      <c r="R107" s="1" t="s">
        <v>471</v>
      </c>
      <c r="S107" s="1">
        <f t="shared" ca="1" si="1"/>
        <v>0.65358034022063072</v>
      </c>
    </row>
    <row r="108" spans="1:19" x14ac:dyDescent="0.25">
      <c r="A108" s="1" t="s">
        <v>462</v>
      </c>
      <c r="B108" s="1" t="s">
        <v>463</v>
      </c>
      <c r="C108" s="1" t="s">
        <v>472</v>
      </c>
      <c r="D108" s="1" t="s">
        <v>21</v>
      </c>
      <c r="E108" s="1" t="s">
        <v>473</v>
      </c>
      <c r="F108" s="1" t="s">
        <v>466</v>
      </c>
      <c r="G108" s="1" t="s">
        <v>171</v>
      </c>
      <c r="H108" s="1" t="s">
        <v>468</v>
      </c>
      <c r="I108" s="1" t="s">
        <v>63</v>
      </c>
      <c r="J108" s="1" t="s">
        <v>468</v>
      </c>
      <c r="L108" s="1" t="s">
        <v>21</v>
      </c>
      <c r="N108" s="1" t="s">
        <v>21</v>
      </c>
      <c r="O108" s="1" t="s">
        <v>474</v>
      </c>
      <c r="P108">
        <v>62</v>
      </c>
      <c r="Q108" s="1" t="s">
        <v>470</v>
      </c>
      <c r="R108" s="1" t="s">
        <v>471</v>
      </c>
      <c r="S108" s="1">
        <f t="shared" ca="1" si="1"/>
        <v>0.85502609619015257</v>
      </c>
    </row>
    <row r="109" spans="1:19" x14ac:dyDescent="0.25">
      <c r="A109" s="1" t="s">
        <v>462</v>
      </c>
      <c r="B109" s="1" t="s">
        <v>463</v>
      </c>
      <c r="C109" s="1" t="s">
        <v>475</v>
      </c>
      <c r="D109" s="1" t="s">
        <v>21</v>
      </c>
      <c r="E109" s="1" t="s">
        <v>476</v>
      </c>
      <c r="F109" s="1" t="s">
        <v>466</v>
      </c>
      <c r="G109" s="1" t="s">
        <v>63</v>
      </c>
      <c r="H109" s="1" t="s">
        <v>468</v>
      </c>
      <c r="I109" s="1" t="s">
        <v>258</v>
      </c>
      <c r="J109" s="1" t="s">
        <v>468</v>
      </c>
      <c r="L109" s="1" t="s">
        <v>21</v>
      </c>
      <c r="N109" s="1" t="s">
        <v>21</v>
      </c>
      <c r="O109" s="1" t="s">
        <v>47</v>
      </c>
      <c r="P109">
        <v>0.57999999999999996</v>
      </c>
      <c r="Q109" s="1" t="s">
        <v>470</v>
      </c>
      <c r="R109" s="1" t="s">
        <v>477</v>
      </c>
      <c r="S109" s="1">
        <f t="shared" ca="1" si="1"/>
        <v>0.42405975608784263</v>
      </c>
    </row>
    <row r="110" spans="1:19" x14ac:dyDescent="0.25">
      <c r="A110" s="1" t="s">
        <v>462</v>
      </c>
      <c r="B110" s="1" t="s">
        <v>463</v>
      </c>
      <c r="C110" s="1" t="s">
        <v>478</v>
      </c>
      <c r="D110" s="1" t="s">
        <v>21</v>
      </c>
      <c r="E110" s="1" t="s">
        <v>479</v>
      </c>
      <c r="F110" s="1" t="s">
        <v>466</v>
      </c>
      <c r="G110" s="1" t="s">
        <v>258</v>
      </c>
      <c r="H110" s="1" t="s">
        <v>468</v>
      </c>
      <c r="I110" s="1" t="s">
        <v>171</v>
      </c>
      <c r="J110" s="1" t="s">
        <v>480</v>
      </c>
      <c r="L110" s="1" t="s">
        <v>21</v>
      </c>
      <c r="N110" s="1" t="s">
        <v>21</v>
      </c>
      <c r="O110" s="1" t="s">
        <v>140</v>
      </c>
      <c r="P110">
        <v>0.59</v>
      </c>
      <c r="Q110" s="1" t="s">
        <v>470</v>
      </c>
      <c r="R110" s="1" t="s">
        <v>477</v>
      </c>
      <c r="S110" s="1">
        <f t="shared" ca="1" si="1"/>
        <v>8.2900844267580598E-2</v>
      </c>
    </row>
    <row r="111" spans="1:19" x14ac:dyDescent="0.25">
      <c r="A111" s="1" t="s">
        <v>462</v>
      </c>
      <c r="B111" s="1" t="s">
        <v>463</v>
      </c>
      <c r="C111" s="1" t="s">
        <v>481</v>
      </c>
      <c r="D111" s="1" t="s">
        <v>21</v>
      </c>
      <c r="E111" s="1" t="s">
        <v>482</v>
      </c>
      <c r="F111" s="1" t="s">
        <v>466</v>
      </c>
      <c r="G111" s="1" t="s">
        <v>171</v>
      </c>
      <c r="H111" s="1" t="s">
        <v>480</v>
      </c>
      <c r="I111" s="1" t="s">
        <v>63</v>
      </c>
      <c r="J111" s="1" t="s">
        <v>480</v>
      </c>
      <c r="L111" s="1" t="s">
        <v>21</v>
      </c>
      <c r="N111" s="1" t="s">
        <v>21</v>
      </c>
      <c r="O111" s="1" t="s">
        <v>140</v>
      </c>
      <c r="P111">
        <v>5.9</v>
      </c>
      <c r="Q111" s="1" t="s">
        <v>470</v>
      </c>
      <c r="R111" s="1" t="s">
        <v>477</v>
      </c>
      <c r="S111" s="1">
        <f t="shared" ca="1" si="1"/>
        <v>0.80251450723069107</v>
      </c>
    </row>
    <row r="112" spans="1:19" x14ac:dyDescent="0.25">
      <c r="A112" s="1" t="s">
        <v>462</v>
      </c>
      <c r="B112" s="1" t="s">
        <v>463</v>
      </c>
      <c r="C112" s="1" t="s">
        <v>483</v>
      </c>
      <c r="D112" s="1" t="s">
        <v>21</v>
      </c>
      <c r="E112" s="1" t="s">
        <v>484</v>
      </c>
      <c r="F112" s="1" t="s">
        <v>466</v>
      </c>
      <c r="G112" s="1" t="s">
        <v>63</v>
      </c>
      <c r="H112" s="1" t="s">
        <v>480</v>
      </c>
      <c r="I112" s="1" t="s">
        <v>258</v>
      </c>
      <c r="J112" s="1" t="s">
        <v>480</v>
      </c>
      <c r="L112" s="1" t="s">
        <v>21</v>
      </c>
      <c r="N112" s="1" t="s">
        <v>21</v>
      </c>
      <c r="O112" s="1" t="s">
        <v>140</v>
      </c>
      <c r="P112">
        <v>58</v>
      </c>
      <c r="Q112" s="1" t="s">
        <v>470</v>
      </c>
      <c r="R112" s="1" t="s">
        <v>477</v>
      </c>
      <c r="S112" s="1">
        <f t="shared" ca="1" si="1"/>
        <v>0.10638921762510489</v>
      </c>
    </row>
    <row r="113" spans="1:19" x14ac:dyDescent="0.25">
      <c r="A113" s="1" t="s">
        <v>462</v>
      </c>
      <c r="B113" s="1" t="s">
        <v>463</v>
      </c>
      <c r="C113" s="1" t="s">
        <v>485</v>
      </c>
      <c r="D113" s="1" t="s">
        <v>21</v>
      </c>
      <c r="E113" s="1" t="s">
        <v>486</v>
      </c>
      <c r="F113" s="1" t="s">
        <v>466</v>
      </c>
      <c r="G113" s="1" t="s">
        <v>258</v>
      </c>
      <c r="H113" s="1" t="s">
        <v>480</v>
      </c>
      <c r="I113" s="1" t="s">
        <v>171</v>
      </c>
      <c r="J113" s="1" t="s">
        <v>487</v>
      </c>
      <c r="L113" s="1" t="s">
        <v>21</v>
      </c>
      <c r="N113" s="1" t="s">
        <v>21</v>
      </c>
      <c r="O113" s="1" t="s">
        <v>474</v>
      </c>
      <c r="P113">
        <v>2.8</v>
      </c>
      <c r="Q113" s="1" t="s">
        <v>470</v>
      </c>
      <c r="R113" s="1" t="s">
        <v>468</v>
      </c>
      <c r="S113" s="1">
        <f t="shared" ca="1" si="1"/>
        <v>0.65065468396353643</v>
      </c>
    </row>
    <row r="114" spans="1:19" x14ac:dyDescent="0.25">
      <c r="A114" s="1" t="s">
        <v>462</v>
      </c>
      <c r="B114" s="1" t="s">
        <v>463</v>
      </c>
      <c r="C114" s="1" t="s">
        <v>488</v>
      </c>
      <c r="D114" s="1" t="s">
        <v>21</v>
      </c>
      <c r="E114" s="1" t="s">
        <v>489</v>
      </c>
      <c r="F114" s="1" t="s">
        <v>466</v>
      </c>
      <c r="G114" s="1" t="s">
        <v>171</v>
      </c>
      <c r="H114" s="1" t="s">
        <v>487</v>
      </c>
      <c r="I114" s="1" t="s">
        <v>63</v>
      </c>
      <c r="J114" s="1" t="s">
        <v>487</v>
      </c>
      <c r="L114" s="1" t="s">
        <v>21</v>
      </c>
      <c r="N114" s="1" t="s">
        <v>21</v>
      </c>
      <c r="O114" s="1" t="s">
        <v>490</v>
      </c>
      <c r="P114">
        <v>120</v>
      </c>
      <c r="Q114" s="1" t="s">
        <v>470</v>
      </c>
      <c r="R114" s="1" t="s">
        <v>468</v>
      </c>
      <c r="S114" s="1">
        <f t="shared" ca="1" si="1"/>
        <v>0.50900908622171726</v>
      </c>
    </row>
    <row r="115" spans="1:19" x14ac:dyDescent="0.25">
      <c r="A115" s="1" t="s">
        <v>462</v>
      </c>
      <c r="B115" s="1" t="s">
        <v>463</v>
      </c>
      <c r="C115" s="1" t="s">
        <v>491</v>
      </c>
      <c r="D115" s="1" t="s">
        <v>21</v>
      </c>
      <c r="E115" s="1" t="s">
        <v>492</v>
      </c>
      <c r="F115" s="1" t="s">
        <v>466</v>
      </c>
      <c r="G115" s="1" t="s">
        <v>63</v>
      </c>
      <c r="H115" s="1" t="s">
        <v>487</v>
      </c>
      <c r="I115" s="1" t="s">
        <v>258</v>
      </c>
      <c r="J115" s="1" t="s">
        <v>487</v>
      </c>
      <c r="L115" s="1" t="s">
        <v>21</v>
      </c>
      <c r="N115" s="1" t="s">
        <v>21</v>
      </c>
      <c r="O115" s="1" t="s">
        <v>493</v>
      </c>
      <c r="P115">
        <v>1.2</v>
      </c>
      <c r="Q115" s="1" t="s">
        <v>338</v>
      </c>
      <c r="R115" s="1" t="s">
        <v>480</v>
      </c>
      <c r="S115" s="1">
        <f t="shared" ca="1" si="1"/>
        <v>2.8990531679127574E-2</v>
      </c>
    </row>
    <row r="116" spans="1:19" x14ac:dyDescent="0.25">
      <c r="A116" s="1" t="s">
        <v>462</v>
      </c>
      <c r="B116" s="1" t="s">
        <v>463</v>
      </c>
      <c r="C116" s="1" t="s">
        <v>494</v>
      </c>
      <c r="D116" s="1" t="s">
        <v>21</v>
      </c>
      <c r="E116" s="1" t="s">
        <v>495</v>
      </c>
      <c r="F116" s="1" t="s">
        <v>466</v>
      </c>
      <c r="G116" s="1" t="s">
        <v>258</v>
      </c>
      <c r="H116" s="1" t="s">
        <v>487</v>
      </c>
      <c r="I116" s="1" t="s">
        <v>171</v>
      </c>
      <c r="J116" s="1" t="s">
        <v>496</v>
      </c>
      <c r="L116" s="1" t="s">
        <v>21</v>
      </c>
      <c r="N116" s="1" t="s">
        <v>21</v>
      </c>
      <c r="O116" s="1" t="s">
        <v>497</v>
      </c>
      <c r="P116">
        <v>12</v>
      </c>
      <c r="Q116" s="1" t="s">
        <v>338</v>
      </c>
      <c r="R116" s="1" t="s">
        <v>480</v>
      </c>
      <c r="S116" s="1">
        <f t="shared" ca="1" si="1"/>
        <v>0.58166604701419933</v>
      </c>
    </row>
    <row r="117" spans="1:19" x14ac:dyDescent="0.25">
      <c r="A117" s="1" t="s">
        <v>498</v>
      </c>
      <c r="B117" s="1" t="s">
        <v>405</v>
      </c>
      <c r="C117" s="1" t="s">
        <v>499</v>
      </c>
      <c r="D117" s="1" t="s">
        <v>21</v>
      </c>
      <c r="E117" s="1" t="s">
        <v>500</v>
      </c>
      <c r="F117" s="1" t="s">
        <v>501</v>
      </c>
      <c r="G117" s="1" t="s">
        <v>457</v>
      </c>
      <c r="H117" s="1" t="s">
        <v>502</v>
      </c>
      <c r="I117" s="1" t="s">
        <v>176</v>
      </c>
      <c r="J117" s="1" t="s">
        <v>502</v>
      </c>
      <c r="L117" s="1" t="s">
        <v>21</v>
      </c>
      <c r="N117" s="1" t="s">
        <v>21</v>
      </c>
      <c r="O117" s="1" t="s">
        <v>497</v>
      </c>
      <c r="P117">
        <v>12</v>
      </c>
      <c r="Q117" s="1" t="s">
        <v>338</v>
      </c>
      <c r="R117" s="1" t="s">
        <v>503</v>
      </c>
      <c r="S117" s="1">
        <f t="shared" ca="1" si="1"/>
        <v>0.62682701169335042</v>
      </c>
    </row>
    <row r="118" spans="1:19" x14ac:dyDescent="0.25">
      <c r="A118" s="1" t="s">
        <v>498</v>
      </c>
      <c r="B118" s="1" t="s">
        <v>405</v>
      </c>
      <c r="C118" s="1" t="s">
        <v>504</v>
      </c>
      <c r="D118" s="1" t="s">
        <v>21</v>
      </c>
      <c r="E118" s="1" t="s">
        <v>505</v>
      </c>
      <c r="F118" s="1" t="s">
        <v>501</v>
      </c>
      <c r="G118" s="1" t="s">
        <v>176</v>
      </c>
      <c r="H118" s="1" t="s">
        <v>502</v>
      </c>
      <c r="I118" s="1" t="s">
        <v>194</v>
      </c>
      <c r="J118" s="1" t="s">
        <v>502</v>
      </c>
      <c r="L118" s="1" t="s">
        <v>21</v>
      </c>
      <c r="N118" s="1" t="s">
        <v>21</v>
      </c>
      <c r="O118" s="1" t="s">
        <v>506</v>
      </c>
      <c r="P118">
        <v>12</v>
      </c>
      <c r="Q118" s="1" t="s">
        <v>338</v>
      </c>
      <c r="R118" s="1" t="s">
        <v>503</v>
      </c>
      <c r="S118" s="1">
        <f t="shared" ca="1" si="1"/>
        <v>0.52206831287075584</v>
      </c>
    </row>
    <row r="119" spans="1:19" x14ac:dyDescent="0.25">
      <c r="A119" s="1" t="s">
        <v>498</v>
      </c>
      <c r="B119" s="1" t="s">
        <v>405</v>
      </c>
      <c r="C119" s="1" t="s">
        <v>507</v>
      </c>
      <c r="D119" s="1" t="s">
        <v>21</v>
      </c>
      <c r="E119" s="1" t="s">
        <v>508</v>
      </c>
      <c r="F119" s="1" t="s">
        <v>501</v>
      </c>
      <c r="G119" s="1" t="s">
        <v>194</v>
      </c>
      <c r="H119" s="1" t="s">
        <v>502</v>
      </c>
      <c r="I119" s="1" t="s">
        <v>509</v>
      </c>
      <c r="J119" s="1" t="s">
        <v>502</v>
      </c>
      <c r="L119" s="1" t="s">
        <v>21</v>
      </c>
      <c r="N119" s="1" t="s">
        <v>21</v>
      </c>
      <c r="O119" s="1" t="s">
        <v>506</v>
      </c>
      <c r="P119">
        <v>120</v>
      </c>
      <c r="Q119" s="1" t="s">
        <v>338</v>
      </c>
      <c r="R119" s="1" t="s">
        <v>503</v>
      </c>
      <c r="S119" s="1">
        <f t="shared" ca="1" si="1"/>
        <v>0.19822979876015423</v>
      </c>
    </row>
    <row r="120" spans="1:19" x14ac:dyDescent="0.25">
      <c r="A120" s="1" t="s">
        <v>498</v>
      </c>
      <c r="B120" s="1" t="s">
        <v>405</v>
      </c>
      <c r="C120" s="1" t="s">
        <v>510</v>
      </c>
      <c r="D120" s="1" t="s">
        <v>21</v>
      </c>
      <c r="E120" s="1" t="s">
        <v>508</v>
      </c>
      <c r="F120" s="1" t="s">
        <v>501</v>
      </c>
      <c r="G120" s="1" t="s">
        <v>509</v>
      </c>
      <c r="H120" s="1" t="s">
        <v>502</v>
      </c>
      <c r="I120" s="1" t="s">
        <v>444</v>
      </c>
      <c r="J120" s="1" t="s">
        <v>502</v>
      </c>
      <c r="L120" s="1" t="s">
        <v>21</v>
      </c>
      <c r="N120" s="1" t="s">
        <v>21</v>
      </c>
      <c r="O120" s="1" t="s">
        <v>506</v>
      </c>
      <c r="P120">
        <v>120</v>
      </c>
      <c r="Q120" s="1" t="s">
        <v>338</v>
      </c>
      <c r="R120" s="1" t="s">
        <v>503</v>
      </c>
      <c r="S120" s="1">
        <f t="shared" ca="1" si="1"/>
        <v>0.92772795954140574</v>
      </c>
    </row>
    <row r="121" spans="1:19" x14ac:dyDescent="0.25">
      <c r="A121" s="1" t="s">
        <v>498</v>
      </c>
      <c r="B121" s="1" t="s">
        <v>405</v>
      </c>
      <c r="C121" s="1" t="s">
        <v>511</v>
      </c>
      <c r="D121" s="1" t="s">
        <v>21</v>
      </c>
      <c r="E121" s="1" t="s">
        <v>512</v>
      </c>
      <c r="F121" s="1" t="s">
        <v>501</v>
      </c>
      <c r="G121" s="1" t="s">
        <v>444</v>
      </c>
      <c r="H121" s="1" t="s">
        <v>502</v>
      </c>
      <c r="I121" s="1" t="s">
        <v>265</v>
      </c>
      <c r="J121" s="1" t="s">
        <v>502</v>
      </c>
      <c r="L121" s="1" t="s">
        <v>21</v>
      </c>
      <c r="N121" s="1" t="s">
        <v>21</v>
      </c>
      <c r="O121" s="1" t="s">
        <v>506</v>
      </c>
      <c r="P121">
        <v>350</v>
      </c>
      <c r="Q121" s="1" t="s">
        <v>338</v>
      </c>
      <c r="R121" s="1" t="s">
        <v>503</v>
      </c>
      <c r="S121" s="1">
        <f t="shared" ca="1" si="1"/>
        <v>0.33228509713593113</v>
      </c>
    </row>
    <row r="122" spans="1:19" x14ac:dyDescent="0.25">
      <c r="A122" s="1" t="s">
        <v>498</v>
      </c>
      <c r="B122" s="1" t="s">
        <v>405</v>
      </c>
      <c r="C122" s="1" t="s">
        <v>513</v>
      </c>
      <c r="D122" s="1" t="s">
        <v>21</v>
      </c>
      <c r="E122" s="1" t="s">
        <v>514</v>
      </c>
      <c r="F122" s="1" t="s">
        <v>501</v>
      </c>
      <c r="G122" s="1" t="s">
        <v>515</v>
      </c>
      <c r="H122" s="1" t="s">
        <v>516</v>
      </c>
      <c r="I122" s="1" t="s">
        <v>517</v>
      </c>
      <c r="J122" s="1" t="s">
        <v>516</v>
      </c>
      <c r="L122" s="1" t="s">
        <v>21</v>
      </c>
      <c r="N122" s="1" t="s">
        <v>21</v>
      </c>
      <c r="O122" s="1" t="s">
        <v>506</v>
      </c>
      <c r="P122">
        <v>1.2</v>
      </c>
      <c r="Q122" s="1" t="s">
        <v>338</v>
      </c>
      <c r="R122" s="1" t="s">
        <v>502</v>
      </c>
      <c r="S122" s="1">
        <f t="shared" ca="1" si="1"/>
        <v>0.76109288284813248</v>
      </c>
    </row>
    <row r="123" spans="1:19" x14ac:dyDescent="0.25">
      <c r="A123" s="1" t="s">
        <v>498</v>
      </c>
      <c r="B123" s="1" t="s">
        <v>405</v>
      </c>
      <c r="C123" s="1" t="s">
        <v>518</v>
      </c>
      <c r="D123" s="1" t="s">
        <v>21</v>
      </c>
      <c r="E123" s="1" t="s">
        <v>519</v>
      </c>
      <c r="F123" s="1" t="s">
        <v>501</v>
      </c>
      <c r="G123" s="1" t="s">
        <v>517</v>
      </c>
      <c r="H123" s="1" t="s">
        <v>516</v>
      </c>
      <c r="I123" s="1" t="s">
        <v>176</v>
      </c>
      <c r="J123" s="1" t="s">
        <v>516</v>
      </c>
      <c r="L123" s="1" t="s">
        <v>21</v>
      </c>
      <c r="N123" s="1" t="s">
        <v>21</v>
      </c>
      <c r="O123" s="1" t="s">
        <v>506</v>
      </c>
      <c r="P123">
        <v>3.5</v>
      </c>
      <c r="Q123" s="1" t="s">
        <v>338</v>
      </c>
      <c r="R123" s="1" t="s">
        <v>502</v>
      </c>
      <c r="S123" s="1">
        <f t="shared" ca="1" si="1"/>
        <v>0.83817493384408404</v>
      </c>
    </row>
    <row r="124" spans="1:19" x14ac:dyDescent="0.25">
      <c r="A124" s="1" t="s">
        <v>498</v>
      </c>
      <c r="B124" s="1" t="s">
        <v>405</v>
      </c>
      <c r="C124" s="1" t="s">
        <v>520</v>
      </c>
      <c r="D124" s="1" t="s">
        <v>21</v>
      </c>
      <c r="E124" s="1" t="s">
        <v>521</v>
      </c>
      <c r="F124" s="1" t="s">
        <v>501</v>
      </c>
      <c r="G124" s="1" t="s">
        <v>176</v>
      </c>
      <c r="H124" s="1" t="s">
        <v>516</v>
      </c>
      <c r="I124" s="1" t="s">
        <v>194</v>
      </c>
      <c r="J124" s="1" t="s">
        <v>516</v>
      </c>
      <c r="L124" s="1" t="s">
        <v>21</v>
      </c>
      <c r="N124" s="1" t="s">
        <v>21</v>
      </c>
      <c r="O124" s="1" t="s">
        <v>506</v>
      </c>
      <c r="P124">
        <v>12</v>
      </c>
      <c r="Q124" s="1" t="s">
        <v>338</v>
      </c>
      <c r="R124" s="1" t="s">
        <v>502</v>
      </c>
      <c r="S124" s="1">
        <f t="shared" ca="1" si="1"/>
        <v>0.90767545858403365</v>
      </c>
    </row>
    <row r="125" spans="1:19" x14ac:dyDescent="0.25">
      <c r="A125" s="1" t="s">
        <v>498</v>
      </c>
      <c r="B125" s="1" t="s">
        <v>405</v>
      </c>
      <c r="C125" s="1" t="s">
        <v>522</v>
      </c>
      <c r="D125" s="1" t="s">
        <v>21</v>
      </c>
      <c r="E125" s="1" t="s">
        <v>523</v>
      </c>
      <c r="F125" s="1" t="s">
        <v>501</v>
      </c>
      <c r="G125" s="1" t="s">
        <v>194</v>
      </c>
      <c r="H125" s="1" t="s">
        <v>516</v>
      </c>
      <c r="I125" s="1" t="s">
        <v>509</v>
      </c>
      <c r="J125" s="1" t="s">
        <v>516</v>
      </c>
      <c r="L125" s="1" t="s">
        <v>21</v>
      </c>
      <c r="N125" s="1" t="s">
        <v>21</v>
      </c>
      <c r="O125" s="1" t="s">
        <v>524</v>
      </c>
      <c r="P125">
        <v>36</v>
      </c>
      <c r="Q125" s="1" t="s">
        <v>338</v>
      </c>
      <c r="R125" s="1" t="s">
        <v>502</v>
      </c>
      <c r="S125" s="1">
        <f t="shared" ca="1" si="1"/>
        <v>4.9539702769429983E-2</v>
      </c>
    </row>
    <row r="126" spans="1:19" x14ac:dyDescent="0.25">
      <c r="A126" s="1" t="s">
        <v>498</v>
      </c>
      <c r="B126" s="1" t="s">
        <v>405</v>
      </c>
      <c r="C126" s="1" t="s">
        <v>525</v>
      </c>
      <c r="D126" s="1" t="s">
        <v>21</v>
      </c>
      <c r="E126" s="1" t="s">
        <v>526</v>
      </c>
      <c r="F126" s="1" t="s">
        <v>501</v>
      </c>
      <c r="G126" s="1" t="s">
        <v>509</v>
      </c>
      <c r="H126" s="1" t="s">
        <v>516</v>
      </c>
      <c r="I126" s="1" t="s">
        <v>444</v>
      </c>
      <c r="J126" s="1" t="s">
        <v>516</v>
      </c>
      <c r="L126" s="1" t="s">
        <v>21</v>
      </c>
      <c r="N126" s="1" t="s">
        <v>21</v>
      </c>
      <c r="O126" s="1" t="s">
        <v>527</v>
      </c>
      <c r="P126">
        <v>120</v>
      </c>
      <c r="Q126" s="1" t="s">
        <v>338</v>
      </c>
      <c r="R126" s="1" t="s">
        <v>502</v>
      </c>
      <c r="S126" s="1">
        <f t="shared" ca="1" si="1"/>
        <v>0.60607567347950742</v>
      </c>
    </row>
    <row r="127" spans="1:19" x14ac:dyDescent="0.25">
      <c r="A127" s="1" t="s">
        <v>498</v>
      </c>
      <c r="B127" s="1" t="s">
        <v>405</v>
      </c>
      <c r="C127" s="1" t="s">
        <v>528</v>
      </c>
      <c r="D127" s="1" t="s">
        <v>21</v>
      </c>
      <c r="E127" s="1" t="s">
        <v>529</v>
      </c>
      <c r="F127" s="1" t="s">
        <v>501</v>
      </c>
      <c r="G127" s="1" t="s">
        <v>444</v>
      </c>
      <c r="H127" s="1" t="s">
        <v>516</v>
      </c>
      <c r="I127" s="1" t="s">
        <v>265</v>
      </c>
      <c r="J127" s="1" t="s">
        <v>516</v>
      </c>
      <c r="L127" s="1" t="s">
        <v>21</v>
      </c>
      <c r="N127" s="1" t="s">
        <v>21</v>
      </c>
      <c r="O127" s="1" t="s">
        <v>527</v>
      </c>
      <c r="P127">
        <v>350</v>
      </c>
      <c r="Q127" s="1" t="s">
        <v>338</v>
      </c>
      <c r="R127" s="1" t="s">
        <v>502</v>
      </c>
      <c r="S127" s="1">
        <f t="shared" ca="1" si="1"/>
        <v>0.22657285139763927</v>
      </c>
    </row>
    <row r="128" spans="1:19" x14ac:dyDescent="0.25">
      <c r="A128" s="1" t="s">
        <v>498</v>
      </c>
      <c r="B128" s="1" t="s">
        <v>405</v>
      </c>
      <c r="C128" s="1" t="s">
        <v>530</v>
      </c>
      <c r="D128" s="1" t="s">
        <v>21</v>
      </c>
      <c r="E128" s="1" t="s">
        <v>531</v>
      </c>
      <c r="F128" s="1" t="s">
        <v>501</v>
      </c>
      <c r="G128" s="1" t="s">
        <v>515</v>
      </c>
      <c r="H128" s="1" t="s">
        <v>532</v>
      </c>
      <c r="I128" s="1" t="s">
        <v>517</v>
      </c>
      <c r="J128" s="1" t="s">
        <v>532</v>
      </c>
      <c r="L128" s="1" t="s">
        <v>21</v>
      </c>
      <c r="N128" s="1" t="s">
        <v>21</v>
      </c>
      <c r="O128" s="1" t="s">
        <v>527</v>
      </c>
      <c r="P128">
        <v>1.2</v>
      </c>
      <c r="Q128" s="1" t="s">
        <v>338</v>
      </c>
      <c r="R128" s="1" t="s">
        <v>516</v>
      </c>
      <c r="S128" s="1">
        <f t="shared" ca="1" si="1"/>
        <v>0.43022656117321245</v>
      </c>
    </row>
    <row r="129" spans="1:19" x14ac:dyDescent="0.25">
      <c r="A129" s="1" t="s">
        <v>498</v>
      </c>
      <c r="B129" s="1" t="s">
        <v>405</v>
      </c>
      <c r="C129" s="1" t="s">
        <v>533</v>
      </c>
      <c r="D129" s="1" t="s">
        <v>21</v>
      </c>
      <c r="E129" s="1" t="s">
        <v>534</v>
      </c>
      <c r="F129" s="1" t="s">
        <v>501</v>
      </c>
      <c r="G129" s="1" t="s">
        <v>517</v>
      </c>
      <c r="H129" s="1" t="s">
        <v>532</v>
      </c>
      <c r="I129" s="1" t="s">
        <v>176</v>
      </c>
      <c r="J129" s="1" t="s">
        <v>532</v>
      </c>
      <c r="L129" s="1" t="s">
        <v>21</v>
      </c>
      <c r="N129" s="1" t="s">
        <v>21</v>
      </c>
      <c r="O129" s="1" t="s">
        <v>527</v>
      </c>
      <c r="P129">
        <v>3.5</v>
      </c>
      <c r="Q129" s="1" t="s">
        <v>338</v>
      </c>
      <c r="R129" s="1" t="s">
        <v>516</v>
      </c>
      <c r="S129" s="1">
        <f t="shared" ca="1" si="1"/>
        <v>0.57284737303767197</v>
      </c>
    </row>
    <row r="130" spans="1:19" x14ac:dyDescent="0.25">
      <c r="A130" s="1" t="s">
        <v>498</v>
      </c>
      <c r="B130" s="1" t="s">
        <v>405</v>
      </c>
      <c r="C130" s="1" t="s">
        <v>535</v>
      </c>
      <c r="D130" s="1" t="s">
        <v>21</v>
      </c>
      <c r="E130" s="1" t="s">
        <v>536</v>
      </c>
      <c r="F130" s="1" t="s">
        <v>501</v>
      </c>
      <c r="G130" s="1" t="s">
        <v>176</v>
      </c>
      <c r="H130" s="1" t="s">
        <v>532</v>
      </c>
      <c r="I130" s="1" t="s">
        <v>194</v>
      </c>
      <c r="J130" s="1" t="s">
        <v>532</v>
      </c>
      <c r="L130" s="1" t="s">
        <v>21</v>
      </c>
      <c r="N130" s="1" t="s">
        <v>21</v>
      </c>
      <c r="O130" s="1" t="s">
        <v>527</v>
      </c>
      <c r="P130">
        <v>13</v>
      </c>
      <c r="Q130" s="1" t="s">
        <v>338</v>
      </c>
      <c r="R130" s="1" t="s">
        <v>516</v>
      </c>
      <c r="S130" s="1">
        <f t="shared" ref="S130:S193" ca="1" si="2">RAND()</f>
        <v>0.45350996282658074</v>
      </c>
    </row>
    <row r="131" spans="1:19" x14ac:dyDescent="0.25">
      <c r="A131" s="1" t="s">
        <v>498</v>
      </c>
      <c r="B131" s="1" t="s">
        <v>405</v>
      </c>
      <c r="C131" s="1" t="s">
        <v>537</v>
      </c>
      <c r="D131" s="1" t="s">
        <v>21</v>
      </c>
      <c r="E131" s="1" t="s">
        <v>538</v>
      </c>
      <c r="F131" s="1" t="s">
        <v>501</v>
      </c>
      <c r="G131" s="1" t="s">
        <v>194</v>
      </c>
      <c r="H131" s="1" t="s">
        <v>532</v>
      </c>
      <c r="I131" s="1" t="s">
        <v>509</v>
      </c>
      <c r="J131" s="1" t="s">
        <v>532</v>
      </c>
      <c r="L131" s="1" t="s">
        <v>21</v>
      </c>
      <c r="N131" s="1" t="s">
        <v>21</v>
      </c>
      <c r="O131" s="1" t="s">
        <v>539</v>
      </c>
      <c r="P131">
        <v>35</v>
      </c>
      <c r="Q131" s="1" t="s">
        <v>338</v>
      </c>
      <c r="R131" s="1" t="s">
        <v>516</v>
      </c>
      <c r="S131" s="1">
        <f t="shared" ca="1" si="2"/>
        <v>0.40282489565134683</v>
      </c>
    </row>
    <row r="132" spans="1:19" x14ac:dyDescent="0.25">
      <c r="A132" s="1" t="s">
        <v>498</v>
      </c>
      <c r="B132" s="1" t="s">
        <v>405</v>
      </c>
      <c r="C132" s="1" t="s">
        <v>540</v>
      </c>
      <c r="D132" s="1" t="s">
        <v>21</v>
      </c>
      <c r="E132" s="1" t="s">
        <v>541</v>
      </c>
      <c r="F132" s="1" t="s">
        <v>501</v>
      </c>
      <c r="G132" s="1" t="s">
        <v>509</v>
      </c>
      <c r="H132" s="1" t="s">
        <v>532</v>
      </c>
      <c r="I132" s="1" t="s">
        <v>444</v>
      </c>
      <c r="J132" s="1" t="s">
        <v>532</v>
      </c>
      <c r="L132" s="1" t="s">
        <v>21</v>
      </c>
      <c r="N132" s="1" t="s">
        <v>21</v>
      </c>
      <c r="O132" s="1" t="s">
        <v>309</v>
      </c>
      <c r="P132">
        <v>120</v>
      </c>
      <c r="Q132" s="1" t="s">
        <v>338</v>
      </c>
      <c r="R132" s="1" t="s">
        <v>516</v>
      </c>
      <c r="S132" s="1">
        <f t="shared" ca="1" si="2"/>
        <v>0.45126134863103629</v>
      </c>
    </row>
    <row r="133" spans="1:19" x14ac:dyDescent="0.25">
      <c r="A133" s="1" t="s">
        <v>542</v>
      </c>
      <c r="B133" s="1" t="s">
        <v>543</v>
      </c>
      <c r="C133" s="1" t="s">
        <v>544</v>
      </c>
      <c r="D133" s="1" t="s">
        <v>21</v>
      </c>
      <c r="E133" s="1" t="s">
        <v>545</v>
      </c>
      <c r="F133" s="1" t="s">
        <v>546</v>
      </c>
      <c r="G133" s="1" t="s">
        <v>547</v>
      </c>
      <c r="H133" s="1" t="s">
        <v>548</v>
      </c>
      <c r="I133" s="1" t="s">
        <v>236</v>
      </c>
      <c r="J133" s="1" t="s">
        <v>548</v>
      </c>
      <c r="L133" s="1" t="s">
        <v>21</v>
      </c>
      <c r="N133" s="1" t="s">
        <v>21</v>
      </c>
      <c r="O133" s="1" t="s">
        <v>549</v>
      </c>
      <c r="P133">
        <v>0</v>
      </c>
      <c r="Q133" s="1" t="s">
        <v>21</v>
      </c>
      <c r="R133" s="1" t="s">
        <v>548</v>
      </c>
      <c r="S133" s="1">
        <f t="shared" ca="1" si="2"/>
        <v>5.1107156263283993E-2</v>
      </c>
    </row>
    <row r="134" spans="1:19" x14ac:dyDescent="0.25">
      <c r="A134" s="1" t="s">
        <v>542</v>
      </c>
      <c r="B134" s="1" t="s">
        <v>543</v>
      </c>
      <c r="C134" s="1" t="s">
        <v>550</v>
      </c>
      <c r="D134" s="1" t="s">
        <v>21</v>
      </c>
      <c r="E134" s="1" t="s">
        <v>551</v>
      </c>
      <c r="F134" s="1" t="s">
        <v>552</v>
      </c>
      <c r="G134" s="1" t="s">
        <v>236</v>
      </c>
      <c r="H134" s="1" t="s">
        <v>548</v>
      </c>
      <c r="I134" s="1" t="s">
        <v>553</v>
      </c>
      <c r="J134" s="1" t="s">
        <v>548</v>
      </c>
      <c r="L134" s="1" t="s">
        <v>21</v>
      </c>
      <c r="N134" s="1" t="s">
        <v>21</v>
      </c>
      <c r="O134" s="1" t="s">
        <v>337</v>
      </c>
      <c r="P134">
        <v>0</v>
      </c>
      <c r="Q134" s="1" t="s">
        <v>21</v>
      </c>
      <c r="R134" s="1" t="s">
        <v>548</v>
      </c>
      <c r="S134" s="1">
        <f t="shared" ca="1" si="2"/>
        <v>0.16870470297628704</v>
      </c>
    </row>
    <row r="135" spans="1:19" x14ac:dyDescent="0.25">
      <c r="A135" s="1" t="s">
        <v>542</v>
      </c>
      <c r="B135" s="1" t="s">
        <v>543</v>
      </c>
      <c r="C135" s="1" t="s">
        <v>554</v>
      </c>
      <c r="D135" s="1" t="s">
        <v>21</v>
      </c>
      <c r="E135" s="1" t="s">
        <v>551</v>
      </c>
      <c r="F135" s="1" t="s">
        <v>552</v>
      </c>
      <c r="G135" s="1" t="s">
        <v>553</v>
      </c>
      <c r="H135" s="1" t="s">
        <v>548</v>
      </c>
      <c r="I135" s="1" t="s">
        <v>555</v>
      </c>
      <c r="J135" s="1" t="s">
        <v>548</v>
      </c>
      <c r="L135" s="1" t="s">
        <v>21</v>
      </c>
      <c r="N135" s="1" t="s">
        <v>21</v>
      </c>
      <c r="O135" s="1" t="s">
        <v>337</v>
      </c>
      <c r="P135">
        <v>0</v>
      </c>
      <c r="Q135" s="1" t="s">
        <v>21</v>
      </c>
      <c r="R135" s="1" t="s">
        <v>548</v>
      </c>
      <c r="S135" s="1">
        <f t="shared" ca="1" si="2"/>
        <v>0.49723942377025765</v>
      </c>
    </row>
    <row r="136" spans="1:19" x14ac:dyDescent="0.25">
      <c r="A136" s="1" t="s">
        <v>542</v>
      </c>
      <c r="B136" s="1" t="s">
        <v>556</v>
      </c>
      <c r="C136" s="1" t="s">
        <v>557</v>
      </c>
      <c r="D136" s="1" t="s">
        <v>21</v>
      </c>
      <c r="E136" s="1" t="s">
        <v>558</v>
      </c>
      <c r="F136" s="1" t="s">
        <v>552</v>
      </c>
      <c r="G136" s="1" t="s">
        <v>559</v>
      </c>
      <c r="H136" s="1" t="s">
        <v>548</v>
      </c>
      <c r="I136" s="1" t="s">
        <v>560</v>
      </c>
      <c r="J136" s="1" t="s">
        <v>548</v>
      </c>
      <c r="L136" s="1" t="s">
        <v>21</v>
      </c>
      <c r="N136" s="1" t="s">
        <v>21</v>
      </c>
      <c r="O136" s="1" t="s">
        <v>561</v>
      </c>
      <c r="P136">
        <v>0</v>
      </c>
      <c r="Q136" s="1" t="s">
        <v>21</v>
      </c>
      <c r="R136" s="1" t="s">
        <v>548</v>
      </c>
      <c r="S136" s="1">
        <f t="shared" ca="1" si="2"/>
        <v>8.5548034922755423E-2</v>
      </c>
    </row>
    <row r="137" spans="1:19" x14ac:dyDescent="0.25">
      <c r="A137" s="1" t="s">
        <v>542</v>
      </c>
      <c r="B137" s="1" t="s">
        <v>556</v>
      </c>
      <c r="C137" s="1" t="s">
        <v>562</v>
      </c>
      <c r="D137" s="1" t="s">
        <v>21</v>
      </c>
      <c r="E137" s="1" t="s">
        <v>545</v>
      </c>
      <c r="F137" s="1" t="s">
        <v>552</v>
      </c>
      <c r="G137" s="1" t="s">
        <v>560</v>
      </c>
      <c r="H137" s="1" t="s">
        <v>548</v>
      </c>
      <c r="I137" s="1" t="s">
        <v>563</v>
      </c>
      <c r="J137" s="1" t="s">
        <v>548</v>
      </c>
      <c r="L137" s="1" t="s">
        <v>21</v>
      </c>
      <c r="N137" s="1" t="s">
        <v>21</v>
      </c>
      <c r="O137" s="1" t="s">
        <v>549</v>
      </c>
      <c r="P137">
        <v>0</v>
      </c>
      <c r="Q137" s="1" t="s">
        <v>21</v>
      </c>
      <c r="R137" s="1" t="s">
        <v>548</v>
      </c>
      <c r="S137" s="1">
        <f t="shared" ca="1" si="2"/>
        <v>0.96634857115083372</v>
      </c>
    </row>
    <row r="138" spans="1:19" x14ac:dyDescent="0.25">
      <c r="A138" s="1" t="s">
        <v>542</v>
      </c>
      <c r="B138" s="1" t="s">
        <v>556</v>
      </c>
      <c r="C138" s="1" t="s">
        <v>564</v>
      </c>
      <c r="D138" s="1" t="s">
        <v>21</v>
      </c>
      <c r="E138" s="1" t="s">
        <v>565</v>
      </c>
      <c r="F138" s="1" t="s">
        <v>552</v>
      </c>
      <c r="G138" s="1" t="s">
        <v>563</v>
      </c>
      <c r="H138" s="1" t="s">
        <v>548</v>
      </c>
      <c r="I138" s="1" t="s">
        <v>566</v>
      </c>
      <c r="J138" s="1" t="s">
        <v>548</v>
      </c>
      <c r="L138" s="1" t="s">
        <v>21</v>
      </c>
      <c r="N138" s="1" t="s">
        <v>21</v>
      </c>
      <c r="O138" s="1" t="s">
        <v>328</v>
      </c>
      <c r="P138">
        <v>0</v>
      </c>
      <c r="Q138" s="1" t="s">
        <v>21</v>
      </c>
      <c r="R138" s="1" t="s">
        <v>548</v>
      </c>
      <c r="S138" s="1">
        <f t="shared" ca="1" si="2"/>
        <v>0.5189232078604642</v>
      </c>
    </row>
    <row r="139" spans="1:19" x14ac:dyDescent="0.25">
      <c r="A139" s="1" t="s">
        <v>542</v>
      </c>
      <c r="B139" s="1" t="s">
        <v>556</v>
      </c>
      <c r="C139" s="1" t="s">
        <v>567</v>
      </c>
      <c r="D139" s="1" t="s">
        <v>21</v>
      </c>
      <c r="E139" s="1" t="s">
        <v>565</v>
      </c>
      <c r="F139" s="1" t="s">
        <v>552</v>
      </c>
      <c r="G139" s="1" t="s">
        <v>566</v>
      </c>
      <c r="H139" s="1" t="s">
        <v>548</v>
      </c>
      <c r="I139" s="1" t="s">
        <v>568</v>
      </c>
      <c r="J139" s="1" t="s">
        <v>548</v>
      </c>
      <c r="L139" s="1" t="s">
        <v>21</v>
      </c>
      <c r="N139" s="1" t="s">
        <v>21</v>
      </c>
      <c r="O139" s="1" t="s">
        <v>328</v>
      </c>
      <c r="P139">
        <v>0</v>
      </c>
      <c r="Q139" s="1" t="s">
        <v>21</v>
      </c>
      <c r="R139" s="1" t="s">
        <v>548</v>
      </c>
      <c r="S139" s="1">
        <f t="shared" ca="1" si="2"/>
        <v>0.66278223330700037</v>
      </c>
    </row>
    <row r="140" spans="1:19" x14ac:dyDescent="0.25">
      <c r="A140" s="1" t="s">
        <v>542</v>
      </c>
      <c r="B140" s="1" t="s">
        <v>569</v>
      </c>
      <c r="C140" s="1" t="s">
        <v>570</v>
      </c>
      <c r="D140" s="1" t="s">
        <v>21</v>
      </c>
      <c r="E140" s="1" t="s">
        <v>571</v>
      </c>
      <c r="F140" s="1" t="s">
        <v>552</v>
      </c>
      <c r="G140" s="1" t="s">
        <v>547</v>
      </c>
      <c r="H140" s="1" t="s">
        <v>548</v>
      </c>
      <c r="I140" s="1" t="s">
        <v>572</v>
      </c>
      <c r="J140" s="1" t="s">
        <v>548</v>
      </c>
      <c r="L140" s="1" t="s">
        <v>21</v>
      </c>
      <c r="N140" s="1" t="s">
        <v>21</v>
      </c>
      <c r="O140" s="1" t="s">
        <v>573</v>
      </c>
      <c r="P140">
        <v>0</v>
      </c>
      <c r="Q140" s="1" t="s">
        <v>21</v>
      </c>
      <c r="R140" s="1" t="s">
        <v>548</v>
      </c>
      <c r="S140" s="1">
        <f t="shared" ca="1" si="2"/>
        <v>0.82797679489221754</v>
      </c>
    </row>
    <row r="141" spans="1:19" x14ac:dyDescent="0.25">
      <c r="A141" s="1" t="s">
        <v>542</v>
      </c>
      <c r="B141" s="1" t="s">
        <v>569</v>
      </c>
      <c r="C141" s="1" t="s">
        <v>574</v>
      </c>
      <c r="D141" s="1" t="s">
        <v>21</v>
      </c>
      <c r="E141" s="1" t="s">
        <v>575</v>
      </c>
      <c r="F141" s="1" t="s">
        <v>552</v>
      </c>
      <c r="G141" s="1" t="s">
        <v>572</v>
      </c>
      <c r="H141" s="1" t="s">
        <v>548</v>
      </c>
      <c r="I141" s="1" t="s">
        <v>560</v>
      </c>
      <c r="J141" s="1" t="s">
        <v>548</v>
      </c>
      <c r="L141" s="1" t="s">
        <v>21</v>
      </c>
      <c r="N141" s="1" t="s">
        <v>21</v>
      </c>
      <c r="O141" s="1" t="s">
        <v>576</v>
      </c>
      <c r="P141">
        <v>0</v>
      </c>
      <c r="Q141" s="1" t="s">
        <v>21</v>
      </c>
      <c r="R141" s="1" t="s">
        <v>548</v>
      </c>
      <c r="S141" s="1">
        <f t="shared" ca="1" si="2"/>
        <v>0.55195847367839401</v>
      </c>
    </row>
    <row r="142" spans="1:19" x14ac:dyDescent="0.25">
      <c r="A142" s="1" t="s">
        <v>542</v>
      </c>
      <c r="B142" s="1" t="s">
        <v>569</v>
      </c>
      <c r="C142" s="1" t="s">
        <v>562</v>
      </c>
      <c r="D142" s="1" t="s">
        <v>21</v>
      </c>
      <c r="E142" s="1" t="s">
        <v>577</v>
      </c>
      <c r="F142" s="1" t="s">
        <v>552</v>
      </c>
      <c r="G142" s="1" t="s">
        <v>560</v>
      </c>
      <c r="H142" s="1" t="s">
        <v>548</v>
      </c>
      <c r="I142" s="1" t="s">
        <v>563</v>
      </c>
      <c r="J142" s="1" t="s">
        <v>548</v>
      </c>
      <c r="L142" s="1" t="s">
        <v>21</v>
      </c>
      <c r="N142" s="1" t="s">
        <v>21</v>
      </c>
      <c r="O142" s="1" t="s">
        <v>457</v>
      </c>
      <c r="P142">
        <v>0</v>
      </c>
      <c r="Q142" s="1" t="s">
        <v>21</v>
      </c>
      <c r="R142" s="1" t="s">
        <v>548</v>
      </c>
      <c r="S142" s="1">
        <f t="shared" ca="1" si="2"/>
        <v>0.11392788037525559</v>
      </c>
    </row>
    <row r="143" spans="1:19" x14ac:dyDescent="0.25">
      <c r="A143" s="1" t="s">
        <v>542</v>
      </c>
      <c r="B143" s="1" t="s">
        <v>569</v>
      </c>
      <c r="C143" s="1" t="s">
        <v>578</v>
      </c>
      <c r="D143" s="1" t="s">
        <v>21</v>
      </c>
      <c r="E143" s="1" t="s">
        <v>579</v>
      </c>
      <c r="F143" s="1" t="s">
        <v>552</v>
      </c>
      <c r="G143" s="1" t="s">
        <v>563</v>
      </c>
      <c r="H143" s="1" t="s">
        <v>548</v>
      </c>
      <c r="I143" s="1" t="s">
        <v>580</v>
      </c>
      <c r="J143" s="1" t="s">
        <v>548</v>
      </c>
      <c r="L143" s="1" t="s">
        <v>21</v>
      </c>
      <c r="N143" s="1" t="s">
        <v>21</v>
      </c>
      <c r="O143" s="1" t="s">
        <v>581</v>
      </c>
      <c r="P143">
        <v>0</v>
      </c>
      <c r="Q143" s="1" t="s">
        <v>21</v>
      </c>
      <c r="R143" s="1" t="s">
        <v>548</v>
      </c>
      <c r="S143" s="1">
        <f t="shared" ca="1" si="2"/>
        <v>1.59244291879308E-2</v>
      </c>
    </row>
    <row r="144" spans="1:19" x14ac:dyDescent="0.25">
      <c r="A144" s="1" t="s">
        <v>542</v>
      </c>
      <c r="B144" s="1" t="s">
        <v>569</v>
      </c>
      <c r="C144" s="1" t="s">
        <v>582</v>
      </c>
      <c r="D144" s="1" t="s">
        <v>21</v>
      </c>
      <c r="E144" s="1" t="s">
        <v>583</v>
      </c>
      <c r="F144" s="1" t="s">
        <v>552</v>
      </c>
      <c r="G144" s="1" t="s">
        <v>580</v>
      </c>
      <c r="H144" s="1" t="s">
        <v>548</v>
      </c>
      <c r="I144" s="1" t="s">
        <v>584</v>
      </c>
      <c r="J144" s="1" t="s">
        <v>548</v>
      </c>
      <c r="L144" s="1" t="s">
        <v>21</v>
      </c>
      <c r="N144" s="1" t="s">
        <v>21</v>
      </c>
      <c r="O144" s="1" t="s">
        <v>441</v>
      </c>
      <c r="P144">
        <v>0</v>
      </c>
      <c r="Q144" s="1" t="s">
        <v>21</v>
      </c>
      <c r="R144" s="1" t="s">
        <v>548</v>
      </c>
      <c r="S144" s="1">
        <f t="shared" ca="1" si="2"/>
        <v>0.74345638282665127</v>
      </c>
    </row>
    <row r="145" spans="1:19" x14ac:dyDescent="0.25">
      <c r="A145" s="1" t="s">
        <v>542</v>
      </c>
      <c r="B145" s="1" t="s">
        <v>585</v>
      </c>
      <c r="C145" s="1" t="s">
        <v>586</v>
      </c>
      <c r="D145" s="1" t="s">
        <v>21</v>
      </c>
      <c r="E145" s="1" t="s">
        <v>587</v>
      </c>
      <c r="F145" s="1" t="s">
        <v>546</v>
      </c>
      <c r="G145" s="1" t="s">
        <v>572</v>
      </c>
      <c r="H145" s="1" t="s">
        <v>548</v>
      </c>
      <c r="I145" s="1" t="s">
        <v>588</v>
      </c>
      <c r="J145" s="1" t="s">
        <v>548</v>
      </c>
      <c r="L145" s="1" t="s">
        <v>21</v>
      </c>
      <c r="N145" s="1" t="s">
        <v>21</v>
      </c>
      <c r="O145" s="1" t="s">
        <v>589</v>
      </c>
      <c r="P145">
        <v>0</v>
      </c>
      <c r="Q145" s="1" t="s">
        <v>21</v>
      </c>
      <c r="R145" s="1" t="s">
        <v>548</v>
      </c>
      <c r="S145" s="1">
        <f t="shared" ca="1" si="2"/>
        <v>8.502631495545232E-2</v>
      </c>
    </row>
    <row r="146" spans="1:19" x14ac:dyDescent="0.25">
      <c r="A146" s="1" t="s">
        <v>542</v>
      </c>
      <c r="B146" s="1" t="s">
        <v>585</v>
      </c>
      <c r="C146" s="1" t="s">
        <v>590</v>
      </c>
      <c r="D146" s="1" t="s">
        <v>21</v>
      </c>
      <c r="E146" s="1" t="s">
        <v>591</v>
      </c>
      <c r="F146" s="1" t="s">
        <v>552</v>
      </c>
      <c r="G146" s="1" t="s">
        <v>588</v>
      </c>
      <c r="H146" s="1" t="s">
        <v>548</v>
      </c>
      <c r="I146" s="1" t="s">
        <v>592</v>
      </c>
      <c r="J146" s="1" t="s">
        <v>548</v>
      </c>
      <c r="L146" s="1" t="s">
        <v>21</v>
      </c>
      <c r="N146" s="1" t="s">
        <v>21</v>
      </c>
      <c r="O146" s="1" t="s">
        <v>593</v>
      </c>
      <c r="P146">
        <v>0</v>
      </c>
      <c r="Q146" s="1" t="s">
        <v>21</v>
      </c>
      <c r="R146" s="1" t="s">
        <v>548</v>
      </c>
      <c r="S146" s="1">
        <f t="shared" ca="1" si="2"/>
        <v>0.48363738446107896</v>
      </c>
    </row>
    <row r="147" spans="1:19" x14ac:dyDescent="0.25">
      <c r="A147" s="1" t="s">
        <v>542</v>
      </c>
      <c r="B147" s="1" t="s">
        <v>585</v>
      </c>
      <c r="C147" s="1" t="s">
        <v>594</v>
      </c>
      <c r="D147" s="1" t="s">
        <v>21</v>
      </c>
      <c r="E147" s="1" t="s">
        <v>595</v>
      </c>
      <c r="F147" s="1" t="s">
        <v>552</v>
      </c>
      <c r="G147" s="1" t="s">
        <v>592</v>
      </c>
      <c r="H147" s="1" t="s">
        <v>548</v>
      </c>
      <c r="I147" s="1" t="s">
        <v>596</v>
      </c>
      <c r="J147" s="1" t="s">
        <v>548</v>
      </c>
      <c r="L147" s="1" t="s">
        <v>21</v>
      </c>
      <c r="N147" s="1" t="s">
        <v>21</v>
      </c>
      <c r="O147" s="1" t="s">
        <v>597</v>
      </c>
      <c r="P147">
        <v>0</v>
      </c>
      <c r="Q147" s="1" t="s">
        <v>21</v>
      </c>
      <c r="R147" s="1" t="s">
        <v>548</v>
      </c>
      <c r="S147" s="1">
        <f t="shared" ca="1" si="2"/>
        <v>0.47142409415762199</v>
      </c>
    </row>
    <row r="148" spans="1:19" x14ac:dyDescent="0.25">
      <c r="A148" s="1" t="s">
        <v>542</v>
      </c>
      <c r="B148" s="1" t="s">
        <v>585</v>
      </c>
      <c r="C148" s="1" t="s">
        <v>598</v>
      </c>
      <c r="D148" s="1" t="s">
        <v>21</v>
      </c>
      <c r="E148" s="1" t="s">
        <v>599</v>
      </c>
      <c r="F148" s="1" t="s">
        <v>552</v>
      </c>
      <c r="G148" s="1" t="s">
        <v>596</v>
      </c>
      <c r="H148" s="1" t="s">
        <v>548</v>
      </c>
      <c r="I148" s="1" t="s">
        <v>382</v>
      </c>
      <c r="J148" s="1" t="s">
        <v>548</v>
      </c>
      <c r="L148" s="1" t="s">
        <v>21</v>
      </c>
      <c r="N148" s="1" t="s">
        <v>21</v>
      </c>
      <c r="O148" s="1" t="s">
        <v>506</v>
      </c>
      <c r="P148">
        <v>0</v>
      </c>
      <c r="Q148" s="1" t="s">
        <v>21</v>
      </c>
      <c r="R148" s="1" t="s">
        <v>548</v>
      </c>
      <c r="S148" s="1">
        <f t="shared" ca="1" si="2"/>
        <v>0.26611647383066295</v>
      </c>
    </row>
    <row r="149" spans="1:19" x14ac:dyDescent="0.25">
      <c r="A149" s="1" t="s">
        <v>542</v>
      </c>
      <c r="B149" s="1" t="s">
        <v>585</v>
      </c>
      <c r="C149" s="1" t="s">
        <v>600</v>
      </c>
      <c r="D149" s="1" t="s">
        <v>21</v>
      </c>
      <c r="E149" s="1" t="s">
        <v>601</v>
      </c>
      <c r="F149" s="1" t="s">
        <v>552</v>
      </c>
      <c r="G149" s="1" t="s">
        <v>382</v>
      </c>
      <c r="H149" s="1" t="s">
        <v>548</v>
      </c>
      <c r="I149" s="1" t="s">
        <v>580</v>
      </c>
      <c r="J149" s="1" t="s">
        <v>548</v>
      </c>
      <c r="L149" s="1" t="s">
        <v>21</v>
      </c>
      <c r="N149" s="1" t="s">
        <v>21</v>
      </c>
      <c r="O149" s="1" t="s">
        <v>445</v>
      </c>
      <c r="P149">
        <v>0</v>
      </c>
      <c r="Q149" s="1" t="s">
        <v>21</v>
      </c>
      <c r="R149" s="1" t="s">
        <v>548</v>
      </c>
      <c r="S149" s="1">
        <f t="shared" ca="1" si="2"/>
        <v>0.95061656402641115</v>
      </c>
    </row>
    <row r="150" spans="1:19" x14ac:dyDescent="0.25">
      <c r="A150" s="1" t="s">
        <v>542</v>
      </c>
      <c r="B150" s="1" t="s">
        <v>585</v>
      </c>
      <c r="C150" s="1" t="s">
        <v>602</v>
      </c>
      <c r="D150" s="1" t="s">
        <v>21</v>
      </c>
      <c r="E150" s="1" t="s">
        <v>577</v>
      </c>
      <c r="F150" s="1" t="s">
        <v>552</v>
      </c>
      <c r="G150" s="1" t="s">
        <v>580</v>
      </c>
      <c r="H150" s="1" t="s">
        <v>548</v>
      </c>
      <c r="I150" s="1" t="s">
        <v>603</v>
      </c>
      <c r="J150" s="1" t="s">
        <v>548</v>
      </c>
      <c r="L150" s="1" t="s">
        <v>21</v>
      </c>
      <c r="N150" s="1" t="s">
        <v>21</v>
      </c>
      <c r="O150" s="1" t="s">
        <v>457</v>
      </c>
      <c r="P150">
        <v>0</v>
      </c>
      <c r="Q150" s="1" t="s">
        <v>21</v>
      </c>
      <c r="R150" s="1" t="s">
        <v>548</v>
      </c>
      <c r="S150" s="1">
        <f t="shared" ca="1" si="2"/>
        <v>0.28466010192940683</v>
      </c>
    </row>
    <row r="151" spans="1:19" x14ac:dyDescent="0.25">
      <c r="A151" s="1" t="s">
        <v>542</v>
      </c>
      <c r="B151" s="1" t="s">
        <v>604</v>
      </c>
      <c r="C151" s="1" t="s">
        <v>605</v>
      </c>
      <c r="D151" s="1" t="s">
        <v>21</v>
      </c>
      <c r="E151" s="1" t="s">
        <v>606</v>
      </c>
      <c r="F151" s="1" t="s">
        <v>552</v>
      </c>
      <c r="G151" s="1" t="s">
        <v>607</v>
      </c>
      <c r="H151" s="1" t="s">
        <v>548</v>
      </c>
      <c r="I151" s="1" t="s">
        <v>608</v>
      </c>
      <c r="J151" s="1" t="s">
        <v>548</v>
      </c>
      <c r="L151" s="1" t="s">
        <v>21</v>
      </c>
      <c r="N151" s="1" t="s">
        <v>21</v>
      </c>
      <c r="O151" s="1" t="s">
        <v>352</v>
      </c>
      <c r="P151">
        <v>0</v>
      </c>
      <c r="Q151" s="1" t="s">
        <v>21</v>
      </c>
      <c r="R151" s="1" t="s">
        <v>548</v>
      </c>
      <c r="S151" s="1">
        <f t="shared" ca="1" si="2"/>
        <v>0.87290337088508496</v>
      </c>
    </row>
    <row r="152" spans="1:19" x14ac:dyDescent="0.25">
      <c r="A152" s="1" t="s">
        <v>542</v>
      </c>
      <c r="B152" s="1" t="s">
        <v>604</v>
      </c>
      <c r="C152" s="1" t="s">
        <v>609</v>
      </c>
      <c r="D152" s="1" t="s">
        <v>21</v>
      </c>
      <c r="E152" s="1" t="s">
        <v>610</v>
      </c>
      <c r="F152" s="1" t="s">
        <v>552</v>
      </c>
      <c r="G152" s="1" t="s">
        <v>608</v>
      </c>
      <c r="H152" s="1" t="s">
        <v>548</v>
      </c>
      <c r="I152" s="1" t="s">
        <v>611</v>
      </c>
      <c r="J152" s="1" t="s">
        <v>548</v>
      </c>
      <c r="L152" s="1" t="s">
        <v>21</v>
      </c>
      <c r="N152" s="1" t="s">
        <v>21</v>
      </c>
      <c r="O152" s="1" t="s">
        <v>612</v>
      </c>
      <c r="P152">
        <v>0</v>
      </c>
      <c r="Q152" s="1" t="s">
        <v>21</v>
      </c>
      <c r="R152" s="1" t="s">
        <v>548</v>
      </c>
      <c r="S152" s="1">
        <f t="shared" ca="1" si="2"/>
        <v>3.0821688073468967E-2</v>
      </c>
    </row>
    <row r="153" spans="1:19" x14ac:dyDescent="0.25">
      <c r="A153" s="1" t="s">
        <v>542</v>
      </c>
      <c r="B153" s="1" t="s">
        <v>604</v>
      </c>
      <c r="C153" s="1" t="s">
        <v>613</v>
      </c>
      <c r="D153" s="1" t="s">
        <v>21</v>
      </c>
      <c r="E153" s="1" t="s">
        <v>614</v>
      </c>
      <c r="F153" s="1" t="s">
        <v>552</v>
      </c>
      <c r="G153" s="1" t="s">
        <v>611</v>
      </c>
      <c r="H153" s="1" t="s">
        <v>548</v>
      </c>
      <c r="I153" s="1" t="s">
        <v>553</v>
      </c>
      <c r="J153" s="1" t="s">
        <v>548</v>
      </c>
      <c r="L153" s="1" t="s">
        <v>21</v>
      </c>
      <c r="N153" s="1" t="s">
        <v>21</v>
      </c>
      <c r="O153" s="1" t="s">
        <v>615</v>
      </c>
      <c r="P153">
        <v>0</v>
      </c>
      <c r="Q153" s="1" t="s">
        <v>21</v>
      </c>
      <c r="R153" s="1" t="s">
        <v>548</v>
      </c>
      <c r="S153" s="1">
        <f t="shared" ca="1" si="2"/>
        <v>0.17825965109292852</v>
      </c>
    </row>
    <row r="154" spans="1:19" x14ac:dyDescent="0.25">
      <c r="A154" s="1" t="s">
        <v>542</v>
      </c>
      <c r="B154" s="1" t="s">
        <v>604</v>
      </c>
      <c r="C154" s="1" t="s">
        <v>616</v>
      </c>
      <c r="D154" s="1" t="s">
        <v>21</v>
      </c>
      <c r="E154" s="1" t="s">
        <v>617</v>
      </c>
      <c r="F154" s="1" t="s">
        <v>552</v>
      </c>
      <c r="G154" s="1" t="s">
        <v>553</v>
      </c>
      <c r="H154" s="1" t="s">
        <v>548</v>
      </c>
      <c r="I154" s="1" t="s">
        <v>618</v>
      </c>
      <c r="J154" s="1" t="s">
        <v>548</v>
      </c>
      <c r="L154" s="1" t="s">
        <v>21</v>
      </c>
      <c r="N154" s="1" t="s">
        <v>21</v>
      </c>
      <c r="O154" s="1" t="s">
        <v>619</v>
      </c>
      <c r="P154">
        <v>0</v>
      </c>
      <c r="Q154" s="1" t="s">
        <v>21</v>
      </c>
      <c r="R154" s="1" t="s">
        <v>548</v>
      </c>
      <c r="S154" s="1">
        <f t="shared" ca="1" si="2"/>
        <v>0.58009029697234771</v>
      </c>
    </row>
    <row r="155" spans="1:19" x14ac:dyDescent="0.25">
      <c r="A155" s="1" t="s">
        <v>542</v>
      </c>
      <c r="B155" s="1" t="s">
        <v>620</v>
      </c>
      <c r="C155" s="1" t="s">
        <v>621</v>
      </c>
      <c r="D155" s="1" t="s">
        <v>21</v>
      </c>
      <c r="E155" s="1" t="s">
        <v>617</v>
      </c>
      <c r="F155" s="1" t="s">
        <v>552</v>
      </c>
      <c r="G155" s="1" t="s">
        <v>618</v>
      </c>
      <c r="H155" s="1" t="s">
        <v>548</v>
      </c>
      <c r="I155" s="1" t="s">
        <v>622</v>
      </c>
      <c r="J155" s="1" t="s">
        <v>548</v>
      </c>
      <c r="L155" s="1" t="s">
        <v>21</v>
      </c>
      <c r="N155" s="1" t="s">
        <v>21</v>
      </c>
      <c r="O155" s="1" t="s">
        <v>619</v>
      </c>
      <c r="P155">
        <v>0</v>
      </c>
      <c r="Q155" s="1" t="s">
        <v>21</v>
      </c>
      <c r="R155" s="1" t="s">
        <v>548</v>
      </c>
      <c r="S155" s="1">
        <f t="shared" ca="1" si="2"/>
        <v>0.40456061330932558</v>
      </c>
    </row>
    <row r="156" spans="1:19" x14ac:dyDescent="0.25">
      <c r="A156" s="1" t="s">
        <v>542</v>
      </c>
      <c r="B156" s="1" t="s">
        <v>620</v>
      </c>
      <c r="C156" s="1" t="s">
        <v>605</v>
      </c>
      <c r="D156" s="1" t="s">
        <v>21</v>
      </c>
      <c r="E156" s="1" t="s">
        <v>623</v>
      </c>
      <c r="F156" s="1" t="s">
        <v>552</v>
      </c>
      <c r="G156" s="1" t="s">
        <v>607</v>
      </c>
      <c r="H156" s="1" t="s">
        <v>548</v>
      </c>
      <c r="I156" s="1" t="s">
        <v>608</v>
      </c>
      <c r="J156" s="1" t="s">
        <v>548</v>
      </c>
      <c r="L156" s="1" t="s">
        <v>21</v>
      </c>
      <c r="N156" s="1" t="s">
        <v>21</v>
      </c>
      <c r="O156" s="1" t="s">
        <v>624</v>
      </c>
      <c r="P156">
        <v>0</v>
      </c>
      <c r="Q156" s="1" t="s">
        <v>21</v>
      </c>
      <c r="R156" s="1" t="s">
        <v>548</v>
      </c>
      <c r="S156" s="1">
        <f t="shared" ca="1" si="2"/>
        <v>0.78985947842316129</v>
      </c>
    </row>
    <row r="157" spans="1:19" x14ac:dyDescent="0.25">
      <c r="A157" s="1" t="s">
        <v>542</v>
      </c>
      <c r="B157" s="1" t="s">
        <v>620</v>
      </c>
      <c r="C157" s="1" t="s">
        <v>609</v>
      </c>
      <c r="D157" s="1" t="s">
        <v>21</v>
      </c>
      <c r="E157" s="1" t="s">
        <v>625</v>
      </c>
      <c r="F157" s="1" t="s">
        <v>552</v>
      </c>
      <c r="G157" s="1" t="s">
        <v>608</v>
      </c>
      <c r="H157" s="1" t="s">
        <v>548</v>
      </c>
      <c r="I157" s="1" t="s">
        <v>611</v>
      </c>
      <c r="J157" s="1" t="s">
        <v>548</v>
      </c>
      <c r="L157" s="1" t="s">
        <v>21</v>
      </c>
      <c r="N157" s="1" t="s">
        <v>21</v>
      </c>
      <c r="O157" s="1" t="s">
        <v>515</v>
      </c>
      <c r="P157">
        <v>0</v>
      </c>
      <c r="Q157" s="1" t="s">
        <v>21</v>
      </c>
      <c r="R157" s="1" t="s">
        <v>548</v>
      </c>
      <c r="S157" s="1">
        <f t="shared" ca="1" si="2"/>
        <v>0.15760299779431486</v>
      </c>
    </row>
    <row r="158" spans="1:19" x14ac:dyDescent="0.25">
      <c r="A158" s="1" t="s">
        <v>542</v>
      </c>
      <c r="B158" s="1" t="s">
        <v>620</v>
      </c>
      <c r="C158" s="1" t="s">
        <v>613</v>
      </c>
      <c r="D158" s="1" t="s">
        <v>21</v>
      </c>
      <c r="E158" s="1" t="s">
        <v>614</v>
      </c>
      <c r="F158" s="1" t="s">
        <v>552</v>
      </c>
      <c r="G158" s="1" t="s">
        <v>611</v>
      </c>
      <c r="H158" s="1" t="s">
        <v>548</v>
      </c>
      <c r="I158" s="1" t="s">
        <v>553</v>
      </c>
      <c r="J158" s="1" t="s">
        <v>548</v>
      </c>
      <c r="L158" s="1" t="s">
        <v>21</v>
      </c>
      <c r="N158" s="1" t="s">
        <v>21</v>
      </c>
      <c r="O158" s="1" t="s">
        <v>615</v>
      </c>
      <c r="P158">
        <v>0</v>
      </c>
      <c r="Q158" s="1" t="s">
        <v>21</v>
      </c>
      <c r="R158" s="1" t="s">
        <v>548</v>
      </c>
      <c r="S158" s="1">
        <f t="shared" ca="1" si="2"/>
        <v>0.63972213811273992</v>
      </c>
    </row>
    <row r="159" spans="1:19" x14ac:dyDescent="0.25">
      <c r="A159" s="1" t="s">
        <v>542</v>
      </c>
      <c r="B159" s="1" t="s">
        <v>626</v>
      </c>
      <c r="C159" s="1" t="s">
        <v>616</v>
      </c>
      <c r="D159" s="1" t="s">
        <v>21</v>
      </c>
      <c r="E159" s="1" t="s">
        <v>617</v>
      </c>
      <c r="F159" s="1" t="s">
        <v>552</v>
      </c>
      <c r="G159" s="1" t="s">
        <v>553</v>
      </c>
      <c r="H159" s="1" t="s">
        <v>548</v>
      </c>
      <c r="I159" s="1" t="s">
        <v>618</v>
      </c>
      <c r="J159" s="1" t="s">
        <v>548</v>
      </c>
      <c r="L159" s="1" t="s">
        <v>21</v>
      </c>
      <c r="N159" s="1" t="s">
        <v>21</v>
      </c>
      <c r="O159" s="1" t="s">
        <v>619</v>
      </c>
      <c r="P159">
        <v>0</v>
      </c>
      <c r="Q159" s="1" t="s">
        <v>21</v>
      </c>
      <c r="R159" s="1" t="s">
        <v>548</v>
      </c>
      <c r="S159" s="1">
        <f t="shared" ca="1" si="2"/>
        <v>0.80459854738244185</v>
      </c>
    </row>
    <row r="160" spans="1:19" x14ac:dyDescent="0.25">
      <c r="A160" s="1" t="s">
        <v>542</v>
      </c>
      <c r="B160" s="1" t="s">
        <v>626</v>
      </c>
      <c r="C160" s="1" t="s">
        <v>621</v>
      </c>
      <c r="D160" s="1" t="s">
        <v>21</v>
      </c>
      <c r="E160" s="1" t="s">
        <v>617</v>
      </c>
      <c r="F160" s="1" t="s">
        <v>552</v>
      </c>
      <c r="G160" s="1" t="s">
        <v>618</v>
      </c>
      <c r="H160" s="1" t="s">
        <v>548</v>
      </c>
      <c r="I160" s="1" t="s">
        <v>622</v>
      </c>
      <c r="J160" s="1" t="s">
        <v>548</v>
      </c>
      <c r="L160" s="1" t="s">
        <v>21</v>
      </c>
      <c r="N160" s="1" t="s">
        <v>21</v>
      </c>
      <c r="O160" s="1" t="s">
        <v>619</v>
      </c>
      <c r="P160">
        <v>0</v>
      </c>
      <c r="Q160" s="1" t="s">
        <v>21</v>
      </c>
      <c r="R160" s="1" t="s">
        <v>548</v>
      </c>
      <c r="S160" s="1">
        <f t="shared" ca="1" si="2"/>
        <v>0.7507983937268885</v>
      </c>
    </row>
    <row r="161" spans="1:19" x14ac:dyDescent="0.25">
      <c r="A161" s="1" t="s">
        <v>542</v>
      </c>
      <c r="B161" s="1" t="s">
        <v>626</v>
      </c>
      <c r="C161" s="1" t="s">
        <v>586</v>
      </c>
      <c r="D161" s="1" t="s">
        <v>21</v>
      </c>
      <c r="E161" s="1" t="s">
        <v>627</v>
      </c>
      <c r="F161" s="1" t="s">
        <v>552</v>
      </c>
      <c r="G161" s="1" t="s">
        <v>572</v>
      </c>
      <c r="H161" s="1" t="s">
        <v>548</v>
      </c>
      <c r="I161" s="1" t="s">
        <v>588</v>
      </c>
      <c r="J161" s="1" t="s">
        <v>548</v>
      </c>
      <c r="L161" s="1" t="s">
        <v>21</v>
      </c>
      <c r="N161" s="1" t="s">
        <v>21</v>
      </c>
      <c r="O161" s="1" t="s">
        <v>628</v>
      </c>
      <c r="P161">
        <v>0</v>
      </c>
      <c r="Q161" s="1" t="s">
        <v>21</v>
      </c>
      <c r="R161" s="1" t="s">
        <v>548</v>
      </c>
      <c r="S161" s="1">
        <f t="shared" ca="1" si="2"/>
        <v>0.25300582935238092</v>
      </c>
    </row>
    <row r="162" spans="1:19" x14ac:dyDescent="0.25">
      <c r="A162" s="1" t="s">
        <v>542</v>
      </c>
      <c r="B162" s="1" t="s">
        <v>626</v>
      </c>
      <c r="C162" s="1" t="s">
        <v>629</v>
      </c>
      <c r="D162" s="1" t="s">
        <v>21</v>
      </c>
      <c r="E162" s="1" t="s">
        <v>630</v>
      </c>
      <c r="F162" s="1" t="s">
        <v>552</v>
      </c>
      <c r="G162" s="1" t="s">
        <v>588</v>
      </c>
      <c r="H162" s="1" t="s">
        <v>548</v>
      </c>
      <c r="I162" s="1" t="s">
        <v>301</v>
      </c>
      <c r="J162" s="1" t="s">
        <v>548</v>
      </c>
      <c r="L162" s="1" t="s">
        <v>21</v>
      </c>
      <c r="N162" s="1" t="s">
        <v>21</v>
      </c>
      <c r="O162" s="1" t="s">
        <v>631</v>
      </c>
      <c r="P162">
        <v>0</v>
      </c>
      <c r="Q162" s="1" t="s">
        <v>21</v>
      </c>
      <c r="R162" s="1" t="s">
        <v>548</v>
      </c>
      <c r="S162" s="1">
        <f t="shared" ca="1" si="2"/>
        <v>0.34306116419992105</v>
      </c>
    </row>
    <row r="163" spans="1:19" x14ac:dyDescent="0.25">
      <c r="A163" s="1" t="s">
        <v>542</v>
      </c>
      <c r="B163" s="1" t="s">
        <v>626</v>
      </c>
      <c r="C163" s="1" t="s">
        <v>632</v>
      </c>
      <c r="D163" s="1" t="s">
        <v>21</v>
      </c>
      <c r="E163" s="1" t="s">
        <v>633</v>
      </c>
      <c r="F163" s="1" t="s">
        <v>552</v>
      </c>
      <c r="G163" s="1" t="s">
        <v>560</v>
      </c>
      <c r="H163" s="1" t="s">
        <v>548</v>
      </c>
      <c r="I163" s="1" t="s">
        <v>634</v>
      </c>
      <c r="J163" s="1" t="s">
        <v>548</v>
      </c>
      <c r="L163" s="1" t="s">
        <v>21</v>
      </c>
      <c r="N163" s="1" t="s">
        <v>21</v>
      </c>
      <c r="O163" s="1" t="s">
        <v>449</v>
      </c>
      <c r="P163">
        <v>0</v>
      </c>
      <c r="Q163" s="1" t="s">
        <v>21</v>
      </c>
      <c r="R163" s="1" t="s">
        <v>548</v>
      </c>
      <c r="S163" s="1">
        <f t="shared" ca="1" si="2"/>
        <v>0.95622097161765862</v>
      </c>
    </row>
    <row r="164" spans="1:19" x14ac:dyDescent="0.25">
      <c r="A164" s="1" t="s">
        <v>542</v>
      </c>
      <c r="B164" s="1" t="s">
        <v>626</v>
      </c>
      <c r="C164" s="1" t="s">
        <v>635</v>
      </c>
      <c r="D164" s="1" t="s">
        <v>21</v>
      </c>
      <c r="E164" s="1" t="s">
        <v>636</v>
      </c>
      <c r="F164" s="1" t="s">
        <v>552</v>
      </c>
      <c r="G164" s="1" t="s">
        <v>634</v>
      </c>
      <c r="H164" s="1" t="s">
        <v>548</v>
      </c>
      <c r="I164" s="1" t="s">
        <v>637</v>
      </c>
      <c r="J164" s="1" t="s">
        <v>548</v>
      </c>
      <c r="L164" s="1" t="s">
        <v>21</v>
      </c>
      <c r="N164" s="1" t="s">
        <v>21</v>
      </c>
      <c r="O164" s="1" t="s">
        <v>638</v>
      </c>
      <c r="P164">
        <v>0</v>
      </c>
      <c r="Q164" s="1" t="s">
        <v>21</v>
      </c>
      <c r="R164" s="1" t="s">
        <v>548</v>
      </c>
      <c r="S164" s="1">
        <f t="shared" ca="1" si="2"/>
        <v>0.97359078263136234</v>
      </c>
    </row>
    <row r="165" spans="1:19" x14ac:dyDescent="0.25">
      <c r="A165" s="1" t="s">
        <v>639</v>
      </c>
      <c r="B165" s="1" t="s">
        <v>640</v>
      </c>
      <c r="C165" s="1" t="s">
        <v>641</v>
      </c>
      <c r="D165" s="1" t="s">
        <v>21</v>
      </c>
      <c r="E165" s="1" t="s">
        <v>642</v>
      </c>
      <c r="F165" s="1" t="s">
        <v>387</v>
      </c>
      <c r="G165" s="1" t="s">
        <v>643</v>
      </c>
      <c r="H165" s="1" t="s">
        <v>548</v>
      </c>
      <c r="I165" s="1" t="s">
        <v>608</v>
      </c>
      <c r="J165" s="1" t="s">
        <v>548</v>
      </c>
      <c r="L165" s="1" t="s">
        <v>21</v>
      </c>
      <c r="N165" s="1" t="s">
        <v>21</v>
      </c>
      <c r="O165" s="1" t="s">
        <v>259</v>
      </c>
      <c r="P165">
        <v>0</v>
      </c>
      <c r="Q165" s="1" t="s">
        <v>21</v>
      </c>
      <c r="R165" s="1" t="s">
        <v>548</v>
      </c>
      <c r="S165" s="1">
        <f t="shared" ca="1" si="2"/>
        <v>0.68977868485154992</v>
      </c>
    </row>
    <row r="166" spans="1:19" x14ac:dyDescent="0.25">
      <c r="A166" s="1" t="s">
        <v>639</v>
      </c>
      <c r="B166" s="1" t="s">
        <v>640</v>
      </c>
      <c r="C166" s="1" t="s">
        <v>609</v>
      </c>
      <c r="D166" s="1" t="s">
        <v>21</v>
      </c>
      <c r="E166" s="1" t="s">
        <v>644</v>
      </c>
      <c r="F166" s="1" t="s">
        <v>387</v>
      </c>
      <c r="G166" s="1" t="s">
        <v>608</v>
      </c>
      <c r="H166" s="1" t="s">
        <v>548</v>
      </c>
      <c r="I166" s="1" t="s">
        <v>611</v>
      </c>
      <c r="J166" s="1" t="s">
        <v>548</v>
      </c>
      <c r="L166" s="1" t="s">
        <v>21</v>
      </c>
      <c r="N166" s="1" t="s">
        <v>21</v>
      </c>
      <c r="O166" s="1" t="s">
        <v>645</v>
      </c>
      <c r="P166">
        <v>0</v>
      </c>
      <c r="Q166" s="1" t="s">
        <v>21</v>
      </c>
      <c r="R166" s="1" t="s">
        <v>548</v>
      </c>
      <c r="S166" s="1">
        <f t="shared" ca="1" si="2"/>
        <v>0.612380056492834</v>
      </c>
    </row>
    <row r="167" spans="1:19" x14ac:dyDescent="0.25">
      <c r="A167" s="1" t="s">
        <v>639</v>
      </c>
      <c r="B167" s="1" t="s">
        <v>640</v>
      </c>
      <c r="C167" s="1" t="s">
        <v>646</v>
      </c>
      <c r="D167" s="1" t="s">
        <v>21</v>
      </c>
      <c r="E167" s="1" t="s">
        <v>647</v>
      </c>
      <c r="F167" s="1" t="s">
        <v>387</v>
      </c>
      <c r="G167" s="1" t="s">
        <v>611</v>
      </c>
      <c r="H167" s="1" t="s">
        <v>548</v>
      </c>
      <c r="I167" s="1" t="s">
        <v>648</v>
      </c>
      <c r="J167" s="1" t="s">
        <v>548</v>
      </c>
      <c r="L167" s="1" t="s">
        <v>21</v>
      </c>
      <c r="N167" s="1" t="s">
        <v>21</v>
      </c>
      <c r="O167" s="1" t="s">
        <v>649</v>
      </c>
      <c r="P167">
        <v>0</v>
      </c>
      <c r="Q167" s="1" t="s">
        <v>21</v>
      </c>
      <c r="R167" s="1" t="s">
        <v>548</v>
      </c>
      <c r="S167" s="1">
        <f t="shared" ca="1" si="2"/>
        <v>0.12020140509592603</v>
      </c>
    </row>
    <row r="168" spans="1:19" x14ac:dyDescent="0.25">
      <c r="A168" s="1" t="s">
        <v>639</v>
      </c>
      <c r="B168" s="1" t="s">
        <v>640</v>
      </c>
      <c r="C168" s="1" t="s">
        <v>650</v>
      </c>
      <c r="D168" s="1" t="s">
        <v>21</v>
      </c>
      <c r="E168" s="1" t="s">
        <v>651</v>
      </c>
      <c r="F168" s="1" t="s">
        <v>387</v>
      </c>
      <c r="G168" s="1" t="s">
        <v>648</v>
      </c>
      <c r="H168" s="1" t="s">
        <v>548</v>
      </c>
      <c r="I168" s="1" t="s">
        <v>652</v>
      </c>
      <c r="J168" s="1" t="s">
        <v>548</v>
      </c>
      <c r="L168" s="1" t="s">
        <v>21</v>
      </c>
      <c r="N168" s="1" t="s">
        <v>21</v>
      </c>
      <c r="O168" s="1" t="s">
        <v>653</v>
      </c>
      <c r="P168">
        <v>0</v>
      </c>
      <c r="Q168" s="1" t="s">
        <v>21</v>
      </c>
      <c r="R168" s="1" t="s">
        <v>548</v>
      </c>
      <c r="S168" s="1">
        <f t="shared" ca="1" si="2"/>
        <v>0.44719172579677213</v>
      </c>
    </row>
    <row r="169" spans="1:19" x14ac:dyDescent="0.25">
      <c r="A169" s="1" t="s">
        <v>639</v>
      </c>
      <c r="B169" s="1" t="s">
        <v>640</v>
      </c>
      <c r="C169" s="1" t="s">
        <v>654</v>
      </c>
      <c r="D169" s="1" t="s">
        <v>21</v>
      </c>
      <c r="E169" s="1" t="s">
        <v>655</v>
      </c>
      <c r="F169" s="1" t="s">
        <v>387</v>
      </c>
      <c r="G169" s="1" t="s">
        <v>652</v>
      </c>
      <c r="H169" s="1" t="s">
        <v>548</v>
      </c>
      <c r="I169" s="1" t="s">
        <v>656</v>
      </c>
      <c r="J169" s="1" t="s">
        <v>548</v>
      </c>
      <c r="L169" s="1" t="s">
        <v>21</v>
      </c>
      <c r="N169" s="1" t="s">
        <v>21</v>
      </c>
      <c r="O169" s="1" t="s">
        <v>657</v>
      </c>
      <c r="P169">
        <v>0</v>
      </c>
      <c r="Q169" s="1" t="s">
        <v>21</v>
      </c>
      <c r="R169" s="1" t="s">
        <v>548</v>
      </c>
      <c r="S169" s="1">
        <f t="shared" ca="1" si="2"/>
        <v>0.68184891537171166</v>
      </c>
    </row>
    <row r="170" spans="1:19" x14ac:dyDescent="0.25">
      <c r="A170" s="1" t="s">
        <v>639</v>
      </c>
      <c r="B170" s="1" t="s">
        <v>658</v>
      </c>
      <c r="C170" s="1" t="s">
        <v>641</v>
      </c>
      <c r="D170" s="1" t="s">
        <v>21</v>
      </c>
      <c r="E170" s="1" t="s">
        <v>659</v>
      </c>
      <c r="F170" s="1" t="s">
        <v>387</v>
      </c>
      <c r="G170" s="1" t="s">
        <v>643</v>
      </c>
      <c r="H170" s="1" t="s">
        <v>548</v>
      </c>
      <c r="I170" s="1" t="s">
        <v>608</v>
      </c>
      <c r="J170" s="1" t="s">
        <v>548</v>
      </c>
      <c r="L170" s="1" t="s">
        <v>21</v>
      </c>
      <c r="N170" s="1" t="s">
        <v>21</v>
      </c>
      <c r="O170" s="1" t="s">
        <v>660</v>
      </c>
      <c r="P170">
        <v>0</v>
      </c>
      <c r="Q170" s="1" t="s">
        <v>21</v>
      </c>
      <c r="R170" s="1" t="s">
        <v>548</v>
      </c>
      <c r="S170" s="1">
        <f t="shared" ca="1" si="2"/>
        <v>0.45312332933922839</v>
      </c>
    </row>
    <row r="171" spans="1:19" x14ac:dyDescent="0.25">
      <c r="A171" s="1" t="s">
        <v>639</v>
      </c>
      <c r="B171" s="1" t="s">
        <v>658</v>
      </c>
      <c r="C171" s="1" t="s">
        <v>609</v>
      </c>
      <c r="D171" s="1" t="s">
        <v>21</v>
      </c>
      <c r="E171" s="1" t="s">
        <v>644</v>
      </c>
      <c r="F171" s="1" t="s">
        <v>387</v>
      </c>
      <c r="G171" s="1" t="s">
        <v>608</v>
      </c>
      <c r="H171" s="1" t="s">
        <v>548</v>
      </c>
      <c r="I171" s="1" t="s">
        <v>611</v>
      </c>
      <c r="J171" s="1" t="s">
        <v>548</v>
      </c>
      <c r="L171" s="1" t="s">
        <v>21</v>
      </c>
      <c r="N171" s="1" t="s">
        <v>21</v>
      </c>
      <c r="O171" s="1" t="s">
        <v>645</v>
      </c>
      <c r="P171">
        <v>0</v>
      </c>
      <c r="Q171" s="1" t="s">
        <v>21</v>
      </c>
      <c r="R171" s="1" t="s">
        <v>548</v>
      </c>
      <c r="S171" s="1">
        <f t="shared" ca="1" si="2"/>
        <v>0.77430699653482926</v>
      </c>
    </row>
    <row r="172" spans="1:19" x14ac:dyDescent="0.25">
      <c r="A172" s="1" t="s">
        <v>639</v>
      </c>
      <c r="B172" s="1" t="s">
        <v>658</v>
      </c>
      <c r="C172" s="1" t="s">
        <v>646</v>
      </c>
      <c r="D172" s="1" t="s">
        <v>21</v>
      </c>
      <c r="E172" s="1" t="s">
        <v>661</v>
      </c>
      <c r="F172" s="1" t="s">
        <v>387</v>
      </c>
      <c r="G172" s="1" t="s">
        <v>611</v>
      </c>
      <c r="H172" s="1" t="s">
        <v>548</v>
      </c>
      <c r="I172" s="1" t="s">
        <v>648</v>
      </c>
      <c r="J172" s="1" t="s">
        <v>548</v>
      </c>
      <c r="L172" s="1" t="s">
        <v>21</v>
      </c>
      <c r="N172" s="1" t="s">
        <v>21</v>
      </c>
      <c r="O172" s="1" t="s">
        <v>649</v>
      </c>
      <c r="P172">
        <v>0</v>
      </c>
      <c r="Q172" s="1" t="s">
        <v>21</v>
      </c>
      <c r="R172" s="1" t="s">
        <v>548</v>
      </c>
      <c r="S172" s="1">
        <f t="shared" ca="1" si="2"/>
        <v>0.85363291942376773</v>
      </c>
    </row>
    <row r="173" spans="1:19" x14ac:dyDescent="0.25">
      <c r="A173" s="1" t="s">
        <v>639</v>
      </c>
      <c r="B173" s="1" t="s">
        <v>658</v>
      </c>
      <c r="C173" s="1" t="s">
        <v>650</v>
      </c>
      <c r="D173" s="1" t="s">
        <v>21</v>
      </c>
      <c r="E173" s="1" t="s">
        <v>651</v>
      </c>
      <c r="F173" s="1" t="s">
        <v>387</v>
      </c>
      <c r="G173" s="1" t="s">
        <v>648</v>
      </c>
      <c r="H173" s="1" t="s">
        <v>548</v>
      </c>
      <c r="I173" s="1" t="s">
        <v>652</v>
      </c>
      <c r="J173" s="1" t="s">
        <v>548</v>
      </c>
      <c r="L173" s="1" t="s">
        <v>21</v>
      </c>
      <c r="N173" s="1" t="s">
        <v>21</v>
      </c>
      <c r="O173" s="1" t="s">
        <v>653</v>
      </c>
      <c r="P173">
        <v>0</v>
      </c>
      <c r="Q173" s="1" t="s">
        <v>21</v>
      </c>
      <c r="R173" s="1" t="s">
        <v>548</v>
      </c>
      <c r="S173" s="1">
        <f t="shared" ca="1" si="2"/>
        <v>9.7576316675024866E-2</v>
      </c>
    </row>
    <row r="174" spans="1:19" x14ac:dyDescent="0.25">
      <c r="A174" s="1" t="s">
        <v>639</v>
      </c>
      <c r="B174" s="1" t="s">
        <v>658</v>
      </c>
      <c r="C174" s="1" t="s">
        <v>654</v>
      </c>
      <c r="D174" s="1" t="s">
        <v>21</v>
      </c>
      <c r="E174" s="1" t="s">
        <v>662</v>
      </c>
      <c r="F174" s="1" t="s">
        <v>387</v>
      </c>
      <c r="G174" s="1" t="s">
        <v>652</v>
      </c>
      <c r="H174" s="1" t="s">
        <v>548</v>
      </c>
      <c r="I174" s="1" t="s">
        <v>656</v>
      </c>
      <c r="J174" s="1" t="s">
        <v>548</v>
      </c>
      <c r="L174" s="1" t="s">
        <v>21</v>
      </c>
      <c r="N174" s="1" t="s">
        <v>21</v>
      </c>
      <c r="O174" s="1" t="s">
        <v>663</v>
      </c>
      <c r="P174">
        <v>0</v>
      </c>
      <c r="Q174" s="1" t="s">
        <v>21</v>
      </c>
      <c r="R174" s="1" t="s">
        <v>548</v>
      </c>
      <c r="S174" s="1">
        <f t="shared" ca="1" si="2"/>
        <v>0.73284476172433799</v>
      </c>
    </row>
    <row r="175" spans="1:19" x14ac:dyDescent="0.25">
      <c r="A175" s="1" t="s">
        <v>387</v>
      </c>
      <c r="B175" s="1" t="s">
        <v>664</v>
      </c>
      <c r="C175" s="1" t="s">
        <v>665</v>
      </c>
      <c r="D175" s="1" t="s">
        <v>666</v>
      </c>
      <c r="E175" s="1" t="s">
        <v>667</v>
      </c>
      <c r="F175" s="1" t="s">
        <v>387</v>
      </c>
      <c r="G175" s="1" t="s">
        <v>171</v>
      </c>
      <c r="H175" s="1" t="s">
        <v>388</v>
      </c>
      <c r="I175" s="1" t="s">
        <v>63</v>
      </c>
      <c r="J175" s="1" t="s">
        <v>388</v>
      </c>
      <c r="K175">
        <v>1</v>
      </c>
      <c r="L175" s="1" t="s">
        <v>668</v>
      </c>
      <c r="M175">
        <v>40</v>
      </c>
      <c r="N175" s="1" t="s">
        <v>668</v>
      </c>
      <c r="O175" s="1" t="s">
        <v>669</v>
      </c>
      <c r="P175">
        <v>3.6</v>
      </c>
      <c r="Q175" s="1" t="s">
        <v>670</v>
      </c>
      <c r="R175" s="1" t="s">
        <v>391</v>
      </c>
      <c r="S175" s="1">
        <f t="shared" ca="1" si="2"/>
        <v>0.44449697588119874</v>
      </c>
    </row>
    <row r="176" spans="1:19" x14ac:dyDescent="0.25">
      <c r="A176" s="1" t="s">
        <v>387</v>
      </c>
      <c r="B176" s="1" t="s">
        <v>664</v>
      </c>
      <c r="C176" s="1" t="s">
        <v>665</v>
      </c>
      <c r="D176" s="1" t="s">
        <v>671</v>
      </c>
      <c r="E176" s="1" t="s">
        <v>672</v>
      </c>
      <c r="F176" s="1" t="s">
        <v>387</v>
      </c>
      <c r="G176" s="1" t="s">
        <v>171</v>
      </c>
      <c r="H176" s="1" t="s">
        <v>388</v>
      </c>
      <c r="I176" s="1" t="s">
        <v>63</v>
      </c>
      <c r="J176" s="1" t="s">
        <v>388</v>
      </c>
      <c r="K176">
        <v>40</v>
      </c>
      <c r="L176" s="1" t="s">
        <v>668</v>
      </c>
      <c r="M176">
        <v>1</v>
      </c>
      <c r="N176" s="1" t="s">
        <v>673</v>
      </c>
      <c r="O176" s="1" t="s">
        <v>343</v>
      </c>
      <c r="P176">
        <v>1.4</v>
      </c>
      <c r="Q176" s="1" t="s">
        <v>670</v>
      </c>
      <c r="R176" s="1" t="s">
        <v>391</v>
      </c>
      <c r="S176" s="1">
        <f t="shared" ca="1" si="2"/>
        <v>0.62146068945475075</v>
      </c>
    </row>
    <row r="177" spans="1:19" x14ac:dyDescent="0.25">
      <c r="A177" s="1" t="s">
        <v>387</v>
      </c>
      <c r="B177" s="1" t="s">
        <v>664</v>
      </c>
      <c r="C177" s="1" t="s">
        <v>665</v>
      </c>
      <c r="D177" s="1" t="s">
        <v>674</v>
      </c>
      <c r="E177" s="1" t="s">
        <v>675</v>
      </c>
      <c r="F177" s="1" t="s">
        <v>387</v>
      </c>
      <c r="G177" s="1" t="s">
        <v>171</v>
      </c>
      <c r="H177" s="1" t="s">
        <v>388</v>
      </c>
      <c r="I177" s="1" t="s">
        <v>63</v>
      </c>
      <c r="J177" s="1" t="s">
        <v>388</v>
      </c>
      <c r="K177">
        <v>1</v>
      </c>
      <c r="L177" s="1" t="s">
        <v>673</v>
      </c>
      <c r="M177">
        <v>20</v>
      </c>
      <c r="N177" s="1" t="s">
        <v>673</v>
      </c>
      <c r="O177" s="1" t="s">
        <v>669</v>
      </c>
      <c r="P177">
        <v>1.4</v>
      </c>
      <c r="Q177" s="1" t="s">
        <v>670</v>
      </c>
      <c r="R177" s="1" t="s">
        <v>391</v>
      </c>
      <c r="S177" s="1">
        <f t="shared" ca="1" si="2"/>
        <v>0.29210681864291765</v>
      </c>
    </row>
    <row r="178" spans="1:19" x14ac:dyDescent="0.25">
      <c r="A178" s="1" t="s">
        <v>387</v>
      </c>
      <c r="B178" s="1" t="s">
        <v>664</v>
      </c>
      <c r="C178" s="1" t="s">
        <v>665</v>
      </c>
      <c r="D178" s="1" t="s">
        <v>676</v>
      </c>
      <c r="E178" s="1" t="s">
        <v>677</v>
      </c>
      <c r="F178" s="1" t="s">
        <v>387</v>
      </c>
      <c r="G178" s="1" t="s">
        <v>171</v>
      </c>
      <c r="H178" s="1" t="s">
        <v>388</v>
      </c>
      <c r="I178" s="1" t="s">
        <v>63</v>
      </c>
      <c r="J178" s="1" t="s">
        <v>388</v>
      </c>
      <c r="K178">
        <v>20</v>
      </c>
      <c r="L178" s="1" t="s">
        <v>673</v>
      </c>
      <c r="M178">
        <v>50</v>
      </c>
      <c r="N178" s="1" t="s">
        <v>673</v>
      </c>
      <c r="O178" s="1" t="s">
        <v>276</v>
      </c>
      <c r="P178">
        <v>1.9</v>
      </c>
      <c r="Q178" s="1" t="s">
        <v>670</v>
      </c>
      <c r="R178" s="1" t="s">
        <v>391</v>
      </c>
      <c r="S178" s="1">
        <f t="shared" ca="1" si="2"/>
        <v>0.39049144531394864</v>
      </c>
    </row>
    <row r="179" spans="1:19" x14ac:dyDescent="0.25">
      <c r="A179" s="1" t="s">
        <v>387</v>
      </c>
      <c r="B179" s="1" t="s">
        <v>664</v>
      </c>
      <c r="C179" s="1" t="s">
        <v>665</v>
      </c>
      <c r="D179" s="1" t="s">
        <v>678</v>
      </c>
      <c r="E179" s="1" t="s">
        <v>679</v>
      </c>
      <c r="F179" s="1" t="s">
        <v>387</v>
      </c>
      <c r="G179" s="1" t="s">
        <v>171</v>
      </c>
      <c r="H179" s="1" t="s">
        <v>388</v>
      </c>
      <c r="I179" s="1" t="s">
        <v>63</v>
      </c>
      <c r="J179" s="1" t="s">
        <v>388</v>
      </c>
      <c r="K179">
        <v>50</v>
      </c>
      <c r="L179" s="1" t="s">
        <v>673</v>
      </c>
      <c r="M179">
        <v>100</v>
      </c>
      <c r="N179" s="1" t="s">
        <v>673</v>
      </c>
      <c r="O179" s="1" t="s">
        <v>497</v>
      </c>
      <c r="P179">
        <v>1.4</v>
      </c>
      <c r="Q179" s="1" t="s">
        <v>670</v>
      </c>
      <c r="R179" s="1" t="s">
        <v>391</v>
      </c>
      <c r="S179" s="1">
        <f t="shared" ca="1" si="2"/>
        <v>0.21078613005255442</v>
      </c>
    </row>
    <row r="180" spans="1:19" x14ac:dyDescent="0.25">
      <c r="A180" s="1" t="s">
        <v>387</v>
      </c>
      <c r="B180" s="1" t="s">
        <v>664</v>
      </c>
      <c r="C180" s="1" t="s">
        <v>665</v>
      </c>
      <c r="D180" s="1" t="s">
        <v>680</v>
      </c>
      <c r="E180" s="1" t="s">
        <v>681</v>
      </c>
      <c r="F180" s="1" t="s">
        <v>387</v>
      </c>
      <c r="G180" s="1" t="s">
        <v>171</v>
      </c>
      <c r="H180" s="1" t="s">
        <v>388</v>
      </c>
      <c r="I180" s="1" t="s">
        <v>63</v>
      </c>
      <c r="J180" s="1" t="s">
        <v>388</v>
      </c>
      <c r="K180">
        <v>100</v>
      </c>
      <c r="L180" s="1" t="s">
        <v>673</v>
      </c>
      <c r="M180">
        <v>300</v>
      </c>
      <c r="N180" s="1" t="s">
        <v>673</v>
      </c>
      <c r="O180" s="1" t="s">
        <v>195</v>
      </c>
      <c r="P180">
        <v>4.2</v>
      </c>
      <c r="Q180" s="1" t="s">
        <v>670</v>
      </c>
      <c r="R180" s="1" t="s">
        <v>391</v>
      </c>
      <c r="S180" s="1">
        <f t="shared" ca="1" si="2"/>
        <v>0.14935585045082189</v>
      </c>
    </row>
    <row r="181" spans="1:19" x14ac:dyDescent="0.25">
      <c r="A181" s="1" t="s">
        <v>387</v>
      </c>
      <c r="B181" s="1" t="s">
        <v>664</v>
      </c>
      <c r="C181" s="1" t="s">
        <v>665</v>
      </c>
      <c r="D181" s="1" t="s">
        <v>682</v>
      </c>
      <c r="E181" s="1" t="s">
        <v>683</v>
      </c>
      <c r="F181" s="1" t="s">
        <v>387</v>
      </c>
      <c r="G181" s="1" t="s">
        <v>171</v>
      </c>
      <c r="H181" s="1" t="s">
        <v>388</v>
      </c>
      <c r="I181" s="1" t="s">
        <v>63</v>
      </c>
      <c r="J181" s="1" t="s">
        <v>388</v>
      </c>
      <c r="K181">
        <v>0.3</v>
      </c>
      <c r="L181" s="1" t="s">
        <v>684</v>
      </c>
      <c r="M181">
        <v>1</v>
      </c>
      <c r="N181" s="1" t="s">
        <v>684</v>
      </c>
      <c r="O181" s="1" t="s">
        <v>195</v>
      </c>
      <c r="P181">
        <v>7.7</v>
      </c>
      <c r="Q181" s="1" t="s">
        <v>670</v>
      </c>
      <c r="R181" s="1" t="s">
        <v>391</v>
      </c>
      <c r="S181" s="1">
        <f t="shared" ca="1" si="2"/>
        <v>0.37900275480914059</v>
      </c>
    </row>
    <row r="182" spans="1:19" x14ac:dyDescent="0.25">
      <c r="A182" s="1" t="s">
        <v>387</v>
      </c>
      <c r="B182" s="1" t="s">
        <v>664</v>
      </c>
      <c r="C182" s="1" t="s">
        <v>665</v>
      </c>
      <c r="D182" s="1" t="s">
        <v>685</v>
      </c>
      <c r="E182" s="1" t="s">
        <v>686</v>
      </c>
      <c r="F182" s="1" t="s">
        <v>387</v>
      </c>
      <c r="G182" s="1" t="s">
        <v>171</v>
      </c>
      <c r="H182" s="1" t="s">
        <v>388</v>
      </c>
      <c r="I182" s="1" t="s">
        <v>63</v>
      </c>
      <c r="J182" s="1" t="s">
        <v>388</v>
      </c>
      <c r="K182">
        <v>1</v>
      </c>
      <c r="L182" s="1" t="s">
        <v>684</v>
      </c>
      <c r="M182">
        <v>4</v>
      </c>
      <c r="N182" s="1" t="s">
        <v>684</v>
      </c>
      <c r="O182" s="1" t="s">
        <v>687</v>
      </c>
      <c r="P182">
        <v>8.8000000000000007</v>
      </c>
      <c r="Q182" s="1" t="s">
        <v>670</v>
      </c>
      <c r="R182" s="1" t="s">
        <v>391</v>
      </c>
      <c r="S182" s="1">
        <f t="shared" ca="1" si="2"/>
        <v>0.86779254013908869</v>
      </c>
    </row>
    <row r="183" spans="1:19" x14ac:dyDescent="0.25">
      <c r="A183" s="1" t="s">
        <v>387</v>
      </c>
      <c r="B183" s="1" t="s">
        <v>664</v>
      </c>
      <c r="C183" s="1" t="s">
        <v>665</v>
      </c>
      <c r="D183" s="1" t="s">
        <v>688</v>
      </c>
      <c r="E183" s="1" t="s">
        <v>689</v>
      </c>
      <c r="F183" s="1" t="s">
        <v>387</v>
      </c>
      <c r="G183" s="1" t="s">
        <v>171</v>
      </c>
      <c r="H183" s="1" t="s">
        <v>388</v>
      </c>
      <c r="I183" s="1" t="s">
        <v>63</v>
      </c>
      <c r="J183" s="1" t="s">
        <v>388</v>
      </c>
      <c r="K183">
        <v>4</v>
      </c>
      <c r="L183" s="1" t="s">
        <v>684</v>
      </c>
      <c r="M183">
        <v>8</v>
      </c>
      <c r="N183" s="1" t="s">
        <v>684</v>
      </c>
      <c r="O183" s="1" t="s">
        <v>416</v>
      </c>
      <c r="P183">
        <v>19</v>
      </c>
      <c r="Q183" s="1" t="s">
        <v>670</v>
      </c>
      <c r="R183" s="1" t="s">
        <v>391</v>
      </c>
      <c r="S183" s="1">
        <f t="shared" ca="1" si="2"/>
        <v>0.28569390490715829</v>
      </c>
    </row>
    <row r="184" spans="1:19" x14ac:dyDescent="0.25">
      <c r="A184" s="1" t="s">
        <v>387</v>
      </c>
      <c r="B184" s="1" t="s">
        <v>664</v>
      </c>
      <c r="C184" s="1" t="s">
        <v>690</v>
      </c>
      <c r="D184" s="1" t="s">
        <v>666</v>
      </c>
      <c r="E184" s="1" t="s">
        <v>691</v>
      </c>
      <c r="F184" s="1" t="s">
        <v>387</v>
      </c>
      <c r="G184" s="1" t="s">
        <v>63</v>
      </c>
      <c r="H184" s="1" t="s">
        <v>388</v>
      </c>
      <c r="I184" s="1" t="s">
        <v>258</v>
      </c>
      <c r="J184" s="1" t="s">
        <v>388</v>
      </c>
      <c r="K184">
        <v>1</v>
      </c>
      <c r="L184" s="1" t="s">
        <v>668</v>
      </c>
      <c r="M184">
        <v>40</v>
      </c>
      <c r="N184" s="1" t="s">
        <v>668</v>
      </c>
      <c r="O184" s="1" t="s">
        <v>105</v>
      </c>
      <c r="P184">
        <v>4.7</v>
      </c>
      <c r="Q184" s="1" t="s">
        <v>390</v>
      </c>
      <c r="R184" s="1" t="s">
        <v>391</v>
      </c>
      <c r="S184" s="1">
        <f t="shared" ca="1" si="2"/>
        <v>3.3757364107307564E-2</v>
      </c>
    </row>
    <row r="185" spans="1:19" x14ac:dyDescent="0.25">
      <c r="A185" s="1" t="s">
        <v>387</v>
      </c>
      <c r="B185" s="1" t="s">
        <v>664</v>
      </c>
      <c r="C185" s="1" t="s">
        <v>690</v>
      </c>
      <c r="D185" s="1" t="s">
        <v>671</v>
      </c>
      <c r="E185" s="1" t="s">
        <v>692</v>
      </c>
      <c r="F185" s="1" t="s">
        <v>387</v>
      </c>
      <c r="G185" s="1" t="s">
        <v>63</v>
      </c>
      <c r="H185" s="1" t="s">
        <v>388</v>
      </c>
      <c r="I185" s="1" t="s">
        <v>258</v>
      </c>
      <c r="J185" s="1" t="s">
        <v>388</v>
      </c>
      <c r="K185">
        <v>40</v>
      </c>
      <c r="L185" s="1" t="s">
        <v>668</v>
      </c>
      <c r="M185">
        <v>1</v>
      </c>
      <c r="N185" s="1" t="s">
        <v>673</v>
      </c>
      <c r="O185" s="1" t="s">
        <v>105</v>
      </c>
      <c r="P185">
        <v>2.4</v>
      </c>
      <c r="Q185" s="1" t="s">
        <v>390</v>
      </c>
      <c r="R185" s="1" t="s">
        <v>391</v>
      </c>
      <c r="S185" s="1">
        <f t="shared" ca="1" si="2"/>
        <v>0.20415854462373439</v>
      </c>
    </row>
    <row r="186" spans="1:19" x14ac:dyDescent="0.25">
      <c r="A186" s="1" t="s">
        <v>387</v>
      </c>
      <c r="B186" s="1" t="s">
        <v>664</v>
      </c>
      <c r="C186" s="1" t="s">
        <v>690</v>
      </c>
      <c r="D186" s="1" t="s">
        <v>674</v>
      </c>
      <c r="E186" s="1" t="s">
        <v>693</v>
      </c>
      <c r="F186" s="1" t="s">
        <v>387</v>
      </c>
      <c r="G186" s="1" t="s">
        <v>63</v>
      </c>
      <c r="H186" s="1" t="s">
        <v>388</v>
      </c>
      <c r="I186" s="1" t="s">
        <v>258</v>
      </c>
      <c r="J186" s="1" t="s">
        <v>388</v>
      </c>
      <c r="K186">
        <v>1</v>
      </c>
      <c r="L186" s="1" t="s">
        <v>673</v>
      </c>
      <c r="M186">
        <v>20</v>
      </c>
      <c r="N186" s="1" t="s">
        <v>673</v>
      </c>
      <c r="O186" s="1" t="s">
        <v>645</v>
      </c>
      <c r="P186">
        <v>2.7</v>
      </c>
      <c r="Q186" s="1" t="s">
        <v>670</v>
      </c>
      <c r="R186" s="1" t="s">
        <v>391</v>
      </c>
      <c r="S186" s="1">
        <f t="shared" ca="1" si="2"/>
        <v>7.3071022949037889E-2</v>
      </c>
    </row>
    <row r="187" spans="1:19" x14ac:dyDescent="0.25">
      <c r="A187" s="1" t="s">
        <v>387</v>
      </c>
      <c r="B187" s="1" t="s">
        <v>664</v>
      </c>
      <c r="C187" s="1" t="s">
        <v>690</v>
      </c>
      <c r="D187" s="1" t="s">
        <v>676</v>
      </c>
      <c r="E187" s="1" t="s">
        <v>694</v>
      </c>
      <c r="F187" s="1" t="s">
        <v>387</v>
      </c>
      <c r="G187" s="1" t="s">
        <v>63</v>
      </c>
      <c r="H187" s="1" t="s">
        <v>388</v>
      </c>
      <c r="I187" s="1" t="s">
        <v>258</v>
      </c>
      <c r="J187" s="1" t="s">
        <v>388</v>
      </c>
      <c r="K187">
        <v>20</v>
      </c>
      <c r="L187" s="1" t="s">
        <v>673</v>
      </c>
      <c r="M187">
        <v>50</v>
      </c>
      <c r="N187" s="1" t="s">
        <v>673</v>
      </c>
      <c r="O187" s="1" t="s">
        <v>657</v>
      </c>
      <c r="P187">
        <v>2.4</v>
      </c>
      <c r="Q187" s="1" t="s">
        <v>670</v>
      </c>
      <c r="R187" s="1" t="s">
        <v>391</v>
      </c>
      <c r="S187" s="1">
        <f t="shared" ca="1" si="2"/>
        <v>0.29379940079215283</v>
      </c>
    </row>
    <row r="188" spans="1:19" x14ac:dyDescent="0.25">
      <c r="A188" s="1" t="s">
        <v>387</v>
      </c>
      <c r="B188" s="1" t="s">
        <v>664</v>
      </c>
      <c r="C188" s="1" t="s">
        <v>690</v>
      </c>
      <c r="D188" s="1" t="s">
        <v>678</v>
      </c>
      <c r="E188" s="1" t="s">
        <v>695</v>
      </c>
      <c r="F188" s="1" t="s">
        <v>387</v>
      </c>
      <c r="G188" s="1" t="s">
        <v>63</v>
      </c>
      <c r="H188" s="1" t="s">
        <v>388</v>
      </c>
      <c r="I188" s="1" t="s">
        <v>258</v>
      </c>
      <c r="J188" s="1" t="s">
        <v>388</v>
      </c>
      <c r="K188">
        <v>50</v>
      </c>
      <c r="L188" s="1" t="s">
        <v>673</v>
      </c>
      <c r="M188">
        <v>100</v>
      </c>
      <c r="N188" s="1" t="s">
        <v>673</v>
      </c>
      <c r="O188" s="1" t="s">
        <v>696</v>
      </c>
      <c r="P188">
        <v>2.8</v>
      </c>
      <c r="Q188" s="1" t="s">
        <v>670</v>
      </c>
      <c r="R188" s="1" t="s">
        <v>391</v>
      </c>
      <c r="S188" s="1">
        <f t="shared" ca="1" si="2"/>
        <v>0.17218198754864955</v>
      </c>
    </row>
    <row r="189" spans="1:19" x14ac:dyDescent="0.25">
      <c r="A189" s="1" t="s">
        <v>387</v>
      </c>
      <c r="B189" s="1" t="s">
        <v>664</v>
      </c>
      <c r="C189" s="1" t="s">
        <v>690</v>
      </c>
      <c r="D189" s="1" t="s">
        <v>680</v>
      </c>
      <c r="E189" s="1" t="s">
        <v>697</v>
      </c>
      <c r="F189" s="1" t="s">
        <v>387</v>
      </c>
      <c r="G189" s="1" t="s">
        <v>63</v>
      </c>
      <c r="H189" s="1" t="s">
        <v>388</v>
      </c>
      <c r="I189" s="1" t="s">
        <v>258</v>
      </c>
      <c r="J189" s="1" t="s">
        <v>388</v>
      </c>
      <c r="K189">
        <v>100</v>
      </c>
      <c r="L189" s="1" t="s">
        <v>673</v>
      </c>
      <c r="M189">
        <v>300</v>
      </c>
      <c r="N189" s="1" t="s">
        <v>673</v>
      </c>
      <c r="O189" s="1" t="s">
        <v>597</v>
      </c>
      <c r="P189">
        <v>12</v>
      </c>
      <c r="Q189" s="1" t="s">
        <v>670</v>
      </c>
      <c r="R189" s="1" t="s">
        <v>391</v>
      </c>
      <c r="S189" s="1">
        <f t="shared" ca="1" si="2"/>
        <v>0.62325140708878268</v>
      </c>
    </row>
    <row r="190" spans="1:19" x14ac:dyDescent="0.25">
      <c r="A190" s="1" t="s">
        <v>387</v>
      </c>
      <c r="B190" s="1" t="s">
        <v>664</v>
      </c>
      <c r="C190" s="1" t="s">
        <v>690</v>
      </c>
      <c r="D190" s="1" t="s">
        <v>698</v>
      </c>
      <c r="E190" s="1" t="s">
        <v>699</v>
      </c>
      <c r="F190" s="1" t="s">
        <v>387</v>
      </c>
      <c r="G190" s="1" t="s">
        <v>63</v>
      </c>
      <c r="H190" s="1" t="s">
        <v>388</v>
      </c>
      <c r="I190" s="1" t="s">
        <v>258</v>
      </c>
      <c r="J190" s="1" t="s">
        <v>388</v>
      </c>
      <c r="K190">
        <v>300</v>
      </c>
      <c r="L190" s="1" t="s">
        <v>673</v>
      </c>
      <c r="M190">
        <v>1</v>
      </c>
      <c r="N190" s="1" t="s">
        <v>684</v>
      </c>
      <c r="O190" s="1" t="s">
        <v>700</v>
      </c>
      <c r="P190">
        <v>12</v>
      </c>
      <c r="Q190" s="1" t="s">
        <v>670</v>
      </c>
      <c r="R190" s="1" t="s">
        <v>391</v>
      </c>
      <c r="S190" s="1">
        <f t="shared" ca="1" si="2"/>
        <v>0.47901753854902684</v>
      </c>
    </row>
    <row r="191" spans="1:19" x14ac:dyDescent="0.25">
      <c r="A191" s="1" t="s">
        <v>387</v>
      </c>
      <c r="B191" s="1" t="s">
        <v>664</v>
      </c>
      <c r="C191" s="1" t="s">
        <v>690</v>
      </c>
      <c r="D191" s="1" t="s">
        <v>701</v>
      </c>
      <c r="E191" s="1" t="s">
        <v>702</v>
      </c>
      <c r="F191" s="1" t="s">
        <v>387</v>
      </c>
      <c r="G191" s="1" t="s">
        <v>63</v>
      </c>
      <c r="H191" s="1" t="s">
        <v>388</v>
      </c>
      <c r="I191" s="1" t="s">
        <v>258</v>
      </c>
      <c r="J191" s="1" t="s">
        <v>388</v>
      </c>
      <c r="K191">
        <v>1</v>
      </c>
      <c r="L191" s="1" t="s">
        <v>684</v>
      </c>
      <c r="M191">
        <v>2</v>
      </c>
      <c r="N191" s="1" t="s">
        <v>684</v>
      </c>
      <c r="O191" s="1" t="s">
        <v>589</v>
      </c>
      <c r="P191">
        <v>45</v>
      </c>
      <c r="Q191" s="1" t="s">
        <v>670</v>
      </c>
      <c r="R191" s="1" t="s">
        <v>391</v>
      </c>
      <c r="S191" s="1">
        <f t="shared" ca="1" si="2"/>
        <v>0.22624482110774158</v>
      </c>
    </row>
    <row r="192" spans="1:19" x14ac:dyDescent="0.25">
      <c r="A192" s="1" t="s">
        <v>387</v>
      </c>
      <c r="B192" s="1" t="s">
        <v>664</v>
      </c>
      <c r="C192" s="1" t="s">
        <v>690</v>
      </c>
      <c r="D192" s="1" t="s">
        <v>703</v>
      </c>
      <c r="E192" s="1" t="s">
        <v>704</v>
      </c>
      <c r="F192" s="1" t="s">
        <v>387</v>
      </c>
      <c r="G192" s="1" t="s">
        <v>63</v>
      </c>
      <c r="H192" s="1" t="s">
        <v>388</v>
      </c>
      <c r="I192" s="1" t="s">
        <v>258</v>
      </c>
      <c r="J192" s="1" t="s">
        <v>388</v>
      </c>
      <c r="K192">
        <v>2</v>
      </c>
      <c r="L192" s="1" t="s">
        <v>684</v>
      </c>
      <c r="M192">
        <v>4</v>
      </c>
      <c r="N192" s="1" t="s">
        <v>684</v>
      </c>
      <c r="O192" s="1" t="s">
        <v>195</v>
      </c>
      <c r="P192">
        <v>100</v>
      </c>
      <c r="Q192" s="1" t="s">
        <v>670</v>
      </c>
      <c r="R192" s="1" t="s">
        <v>391</v>
      </c>
      <c r="S192" s="1">
        <f t="shared" ca="1" si="2"/>
        <v>0.52602996608539987</v>
      </c>
    </row>
    <row r="193" spans="1:19" x14ac:dyDescent="0.25">
      <c r="A193" s="1" t="s">
        <v>387</v>
      </c>
      <c r="B193" s="1" t="s">
        <v>664</v>
      </c>
      <c r="C193" s="1" t="s">
        <v>690</v>
      </c>
      <c r="D193" s="1" t="s">
        <v>688</v>
      </c>
      <c r="E193" s="1" t="s">
        <v>705</v>
      </c>
      <c r="F193" s="1" t="s">
        <v>387</v>
      </c>
      <c r="G193" s="1" t="s">
        <v>63</v>
      </c>
      <c r="H193" s="1" t="s">
        <v>388</v>
      </c>
      <c r="I193" s="1" t="s">
        <v>258</v>
      </c>
      <c r="J193" s="1" t="s">
        <v>388</v>
      </c>
      <c r="K193">
        <v>4</v>
      </c>
      <c r="L193" s="1" t="s">
        <v>684</v>
      </c>
      <c r="M193">
        <v>8</v>
      </c>
      <c r="N193" s="1" t="s">
        <v>684</v>
      </c>
      <c r="O193" s="1" t="s">
        <v>195</v>
      </c>
      <c r="P193">
        <v>120</v>
      </c>
      <c r="Q193" s="1" t="s">
        <v>670</v>
      </c>
      <c r="R193" s="1" t="s">
        <v>391</v>
      </c>
      <c r="S193" s="1">
        <f t="shared" ca="1" si="2"/>
        <v>0.58925416994204372</v>
      </c>
    </row>
    <row r="194" spans="1:19" x14ac:dyDescent="0.25">
      <c r="A194" s="1" t="s">
        <v>387</v>
      </c>
      <c r="B194" s="1" t="s">
        <v>664</v>
      </c>
      <c r="C194" s="1" t="s">
        <v>690</v>
      </c>
      <c r="D194" s="1" t="s">
        <v>706</v>
      </c>
      <c r="E194" s="1" t="s">
        <v>707</v>
      </c>
      <c r="F194" s="1" t="s">
        <v>387</v>
      </c>
      <c r="G194" s="1" t="s">
        <v>63</v>
      </c>
      <c r="H194" s="1" t="s">
        <v>388</v>
      </c>
      <c r="I194" s="1" t="s">
        <v>258</v>
      </c>
      <c r="J194" s="1" t="s">
        <v>388</v>
      </c>
      <c r="K194">
        <v>8</v>
      </c>
      <c r="L194" s="1" t="s">
        <v>684</v>
      </c>
      <c r="M194">
        <v>10</v>
      </c>
      <c r="N194" s="1" t="s">
        <v>684</v>
      </c>
      <c r="O194" s="1" t="s">
        <v>474</v>
      </c>
      <c r="P194">
        <v>440</v>
      </c>
      <c r="Q194" s="1" t="s">
        <v>670</v>
      </c>
      <c r="R194" s="1" t="s">
        <v>391</v>
      </c>
      <c r="S194" s="1">
        <f t="shared" ref="S194:S257" ca="1" si="3">RAND()</f>
        <v>0.15185481344649499</v>
      </c>
    </row>
    <row r="195" spans="1:19" x14ac:dyDescent="0.25">
      <c r="A195" s="1" t="s">
        <v>387</v>
      </c>
      <c r="B195" s="1" t="s">
        <v>664</v>
      </c>
      <c r="C195" s="1" t="s">
        <v>708</v>
      </c>
      <c r="D195" s="1" t="s">
        <v>666</v>
      </c>
      <c r="E195" s="1" t="s">
        <v>709</v>
      </c>
      <c r="F195" s="1" t="s">
        <v>387</v>
      </c>
      <c r="G195" s="1" t="s">
        <v>258</v>
      </c>
      <c r="H195" s="1" t="s">
        <v>388</v>
      </c>
      <c r="I195" s="1" t="s">
        <v>171</v>
      </c>
      <c r="J195" s="1" t="s">
        <v>394</v>
      </c>
      <c r="K195">
        <v>1</v>
      </c>
      <c r="L195" s="1" t="s">
        <v>668</v>
      </c>
      <c r="M195">
        <v>40</v>
      </c>
      <c r="N195" s="1" t="s">
        <v>668</v>
      </c>
      <c r="O195" s="1" t="s">
        <v>710</v>
      </c>
      <c r="P195">
        <v>47</v>
      </c>
      <c r="Q195" s="1" t="s">
        <v>390</v>
      </c>
      <c r="R195" s="1" t="s">
        <v>391</v>
      </c>
      <c r="S195" s="1">
        <f t="shared" ca="1" si="3"/>
        <v>0.41047744174315726</v>
      </c>
    </row>
    <row r="196" spans="1:19" x14ac:dyDescent="0.25">
      <c r="A196" s="1" t="s">
        <v>387</v>
      </c>
      <c r="B196" s="1" t="s">
        <v>664</v>
      </c>
      <c r="C196" s="1" t="s">
        <v>708</v>
      </c>
      <c r="D196" s="1" t="s">
        <v>671</v>
      </c>
      <c r="E196" s="1" t="s">
        <v>711</v>
      </c>
      <c r="F196" s="1" t="s">
        <v>387</v>
      </c>
      <c r="G196" s="1" t="s">
        <v>258</v>
      </c>
      <c r="H196" s="1" t="s">
        <v>388</v>
      </c>
      <c r="I196" s="1" t="s">
        <v>171</v>
      </c>
      <c r="J196" s="1" t="s">
        <v>394</v>
      </c>
      <c r="K196">
        <v>40</v>
      </c>
      <c r="L196" s="1" t="s">
        <v>668</v>
      </c>
      <c r="M196">
        <v>1</v>
      </c>
      <c r="N196" s="1" t="s">
        <v>673</v>
      </c>
      <c r="O196" s="1" t="s">
        <v>710</v>
      </c>
      <c r="P196">
        <v>24</v>
      </c>
      <c r="Q196" s="1" t="s">
        <v>390</v>
      </c>
      <c r="R196" s="1" t="s">
        <v>391</v>
      </c>
      <c r="S196" s="1">
        <f t="shared" ca="1" si="3"/>
        <v>0.657576728652561</v>
      </c>
    </row>
    <row r="197" spans="1:19" x14ac:dyDescent="0.25">
      <c r="A197" s="1" t="s">
        <v>387</v>
      </c>
      <c r="B197" s="1" t="s">
        <v>664</v>
      </c>
      <c r="C197" s="1" t="s">
        <v>708</v>
      </c>
      <c r="D197" s="1" t="s">
        <v>674</v>
      </c>
      <c r="E197" s="1" t="s">
        <v>712</v>
      </c>
      <c r="F197" s="1" t="s">
        <v>387</v>
      </c>
      <c r="G197" s="1" t="s">
        <v>258</v>
      </c>
      <c r="H197" s="1" t="s">
        <v>388</v>
      </c>
      <c r="I197" s="1" t="s">
        <v>171</v>
      </c>
      <c r="J197" s="1" t="s">
        <v>394</v>
      </c>
      <c r="K197">
        <v>1</v>
      </c>
      <c r="L197" s="1" t="s">
        <v>673</v>
      </c>
      <c r="M197">
        <v>20</v>
      </c>
      <c r="N197" s="1" t="s">
        <v>673</v>
      </c>
      <c r="O197" s="1" t="s">
        <v>645</v>
      </c>
      <c r="P197">
        <v>26</v>
      </c>
      <c r="Q197" s="1" t="s">
        <v>670</v>
      </c>
      <c r="R197" s="1" t="s">
        <v>391</v>
      </c>
      <c r="S197" s="1">
        <f t="shared" ca="1" si="3"/>
        <v>0.70862345591362563</v>
      </c>
    </row>
    <row r="198" spans="1:19" x14ac:dyDescent="0.25">
      <c r="A198" s="1" t="s">
        <v>387</v>
      </c>
      <c r="B198" s="1" t="s">
        <v>664</v>
      </c>
      <c r="C198" s="1" t="s">
        <v>708</v>
      </c>
      <c r="D198" s="1" t="s">
        <v>676</v>
      </c>
      <c r="E198" s="1" t="s">
        <v>713</v>
      </c>
      <c r="F198" s="1" t="s">
        <v>387</v>
      </c>
      <c r="G198" s="1" t="s">
        <v>258</v>
      </c>
      <c r="H198" s="1" t="s">
        <v>388</v>
      </c>
      <c r="I198" s="1" t="s">
        <v>171</v>
      </c>
      <c r="J198" s="1" t="s">
        <v>394</v>
      </c>
      <c r="K198">
        <v>20</v>
      </c>
      <c r="L198" s="1" t="s">
        <v>673</v>
      </c>
      <c r="M198">
        <v>50</v>
      </c>
      <c r="N198" s="1" t="s">
        <v>673</v>
      </c>
      <c r="O198" s="1" t="s">
        <v>657</v>
      </c>
      <c r="P198">
        <v>24</v>
      </c>
      <c r="Q198" s="1" t="s">
        <v>670</v>
      </c>
      <c r="R198" s="1" t="s">
        <v>391</v>
      </c>
      <c r="S198" s="1">
        <f t="shared" ca="1" si="3"/>
        <v>0.84786197403117536</v>
      </c>
    </row>
    <row r="199" spans="1:19" x14ac:dyDescent="0.25">
      <c r="A199" s="1" t="s">
        <v>387</v>
      </c>
      <c r="B199" s="1" t="s">
        <v>664</v>
      </c>
      <c r="C199" s="1" t="s">
        <v>708</v>
      </c>
      <c r="D199" s="1" t="s">
        <v>678</v>
      </c>
      <c r="E199" s="1" t="s">
        <v>714</v>
      </c>
      <c r="F199" s="1" t="s">
        <v>387</v>
      </c>
      <c r="G199" s="1" t="s">
        <v>258</v>
      </c>
      <c r="H199" s="1" t="s">
        <v>388</v>
      </c>
      <c r="I199" s="1" t="s">
        <v>171</v>
      </c>
      <c r="J199" s="1" t="s">
        <v>394</v>
      </c>
      <c r="K199">
        <v>50</v>
      </c>
      <c r="L199" s="1" t="s">
        <v>673</v>
      </c>
      <c r="M199">
        <v>100</v>
      </c>
      <c r="N199" s="1" t="s">
        <v>673</v>
      </c>
      <c r="O199" s="1" t="s">
        <v>696</v>
      </c>
      <c r="P199">
        <v>28</v>
      </c>
      <c r="Q199" s="1" t="s">
        <v>670</v>
      </c>
      <c r="R199" s="1" t="s">
        <v>391</v>
      </c>
      <c r="S199" s="1">
        <f t="shared" ca="1" si="3"/>
        <v>0.66182177446949353</v>
      </c>
    </row>
    <row r="200" spans="1:19" x14ac:dyDescent="0.25">
      <c r="A200" s="1" t="s">
        <v>387</v>
      </c>
      <c r="B200" s="1" t="s">
        <v>664</v>
      </c>
      <c r="C200" s="1" t="s">
        <v>708</v>
      </c>
      <c r="D200" s="1" t="s">
        <v>680</v>
      </c>
      <c r="E200" s="1" t="s">
        <v>715</v>
      </c>
      <c r="F200" s="1" t="s">
        <v>387</v>
      </c>
      <c r="G200" s="1" t="s">
        <v>258</v>
      </c>
      <c r="H200" s="1" t="s">
        <v>388</v>
      </c>
      <c r="I200" s="1" t="s">
        <v>171</v>
      </c>
      <c r="J200" s="1" t="s">
        <v>394</v>
      </c>
      <c r="K200">
        <v>100</v>
      </c>
      <c r="L200" s="1" t="s">
        <v>673</v>
      </c>
      <c r="M200">
        <v>300</v>
      </c>
      <c r="N200" s="1" t="s">
        <v>673</v>
      </c>
      <c r="O200" s="1" t="s">
        <v>597</v>
      </c>
      <c r="P200">
        <v>120</v>
      </c>
      <c r="Q200" s="1" t="s">
        <v>670</v>
      </c>
      <c r="R200" s="1" t="s">
        <v>391</v>
      </c>
      <c r="S200" s="1">
        <f t="shared" ca="1" si="3"/>
        <v>0.77609936539085822</v>
      </c>
    </row>
    <row r="201" spans="1:19" x14ac:dyDescent="0.25">
      <c r="A201" s="1" t="s">
        <v>387</v>
      </c>
      <c r="B201" s="1" t="s">
        <v>664</v>
      </c>
      <c r="C201" s="1" t="s">
        <v>708</v>
      </c>
      <c r="D201" s="1" t="s">
        <v>698</v>
      </c>
      <c r="E201" s="1" t="s">
        <v>716</v>
      </c>
      <c r="F201" s="1" t="s">
        <v>387</v>
      </c>
      <c r="G201" s="1" t="s">
        <v>258</v>
      </c>
      <c r="H201" s="1" t="s">
        <v>388</v>
      </c>
      <c r="I201" s="1" t="s">
        <v>171</v>
      </c>
      <c r="J201" s="1" t="s">
        <v>394</v>
      </c>
      <c r="K201">
        <v>300</v>
      </c>
      <c r="L201" s="1" t="s">
        <v>673</v>
      </c>
      <c r="M201">
        <v>1</v>
      </c>
      <c r="N201" s="1" t="s">
        <v>684</v>
      </c>
      <c r="O201" s="1" t="s">
        <v>700</v>
      </c>
      <c r="P201">
        <v>120</v>
      </c>
      <c r="Q201" s="1" t="s">
        <v>670</v>
      </c>
      <c r="R201" s="1" t="s">
        <v>391</v>
      </c>
      <c r="S201" s="1">
        <f t="shared" ca="1" si="3"/>
        <v>0.3785462581535235</v>
      </c>
    </row>
    <row r="202" spans="1:19" x14ac:dyDescent="0.25">
      <c r="A202" s="1" t="s">
        <v>387</v>
      </c>
      <c r="B202" s="1" t="s">
        <v>664</v>
      </c>
      <c r="C202" s="1" t="s">
        <v>708</v>
      </c>
      <c r="D202" s="1" t="s">
        <v>701</v>
      </c>
      <c r="E202" s="1" t="s">
        <v>717</v>
      </c>
      <c r="F202" s="1" t="s">
        <v>387</v>
      </c>
      <c r="G202" s="1" t="s">
        <v>258</v>
      </c>
      <c r="H202" s="1" t="s">
        <v>388</v>
      </c>
      <c r="I202" s="1" t="s">
        <v>171</v>
      </c>
      <c r="J202" s="1" t="s">
        <v>394</v>
      </c>
      <c r="K202">
        <v>1</v>
      </c>
      <c r="L202" s="1" t="s">
        <v>684</v>
      </c>
      <c r="M202">
        <v>2</v>
      </c>
      <c r="N202" s="1" t="s">
        <v>684</v>
      </c>
      <c r="O202" s="1" t="s">
        <v>589</v>
      </c>
      <c r="P202">
        <v>450</v>
      </c>
      <c r="Q202" s="1" t="s">
        <v>670</v>
      </c>
      <c r="R202" s="1" t="s">
        <v>391</v>
      </c>
      <c r="S202" s="1">
        <f t="shared" ca="1" si="3"/>
        <v>0.97196725959861863</v>
      </c>
    </row>
    <row r="203" spans="1:19" x14ac:dyDescent="0.25">
      <c r="A203" s="1" t="s">
        <v>387</v>
      </c>
      <c r="B203" s="1" t="s">
        <v>664</v>
      </c>
      <c r="C203" s="1" t="s">
        <v>708</v>
      </c>
      <c r="D203" s="1" t="s">
        <v>703</v>
      </c>
      <c r="E203" s="1" t="s">
        <v>718</v>
      </c>
      <c r="F203" s="1" t="s">
        <v>387</v>
      </c>
      <c r="G203" s="1" t="s">
        <v>258</v>
      </c>
      <c r="H203" s="1" t="s">
        <v>388</v>
      </c>
      <c r="I203" s="1" t="s">
        <v>171</v>
      </c>
      <c r="J203" s="1" t="s">
        <v>394</v>
      </c>
      <c r="K203">
        <v>2</v>
      </c>
      <c r="L203" s="1" t="s">
        <v>684</v>
      </c>
      <c r="M203">
        <v>4</v>
      </c>
      <c r="N203" s="1" t="s">
        <v>684</v>
      </c>
      <c r="O203" s="1" t="s">
        <v>195</v>
      </c>
      <c r="P203">
        <v>1.1000000000000001</v>
      </c>
      <c r="Q203" s="1" t="s">
        <v>670</v>
      </c>
      <c r="R203" s="1" t="s">
        <v>388</v>
      </c>
      <c r="S203" s="1">
        <f t="shared" ca="1" si="3"/>
        <v>0.34289985738168449</v>
      </c>
    </row>
    <row r="204" spans="1:19" x14ac:dyDescent="0.25">
      <c r="A204" s="1" t="s">
        <v>387</v>
      </c>
      <c r="B204" s="1" t="s">
        <v>664</v>
      </c>
      <c r="C204" s="1" t="s">
        <v>708</v>
      </c>
      <c r="D204" s="1" t="s">
        <v>688</v>
      </c>
      <c r="E204" s="1" t="s">
        <v>719</v>
      </c>
      <c r="F204" s="1" t="s">
        <v>387</v>
      </c>
      <c r="G204" s="1" t="s">
        <v>258</v>
      </c>
      <c r="H204" s="1" t="s">
        <v>388</v>
      </c>
      <c r="I204" s="1" t="s">
        <v>171</v>
      </c>
      <c r="J204" s="1" t="s">
        <v>394</v>
      </c>
      <c r="K204">
        <v>4</v>
      </c>
      <c r="L204" s="1" t="s">
        <v>684</v>
      </c>
      <c r="M204">
        <v>8</v>
      </c>
      <c r="N204" s="1" t="s">
        <v>684</v>
      </c>
      <c r="O204" s="1" t="s">
        <v>195</v>
      </c>
      <c r="P204">
        <v>1.2</v>
      </c>
      <c r="Q204" s="1" t="s">
        <v>670</v>
      </c>
      <c r="R204" s="1" t="s">
        <v>388</v>
      </c>
      <c r="S204" s="1">
        <f t="shared" ca="1" si="3"/>
        <v>0.49857644330178663</v>
      </c>
    </row>
    <row r="205" spans="1:19" x14ac:dyDescent="0.25">
      <c r="A205" s="1" t="s">
        <v>387</v>
      </c>
      <c r="B205" s="1" t="s">
        <v>664</v>
      </c>
      <c r="C205" s="1" t="s">
        <v>708</v>
      </c>
      <c r="D205" s="1" t="s">
        <v>706</v>
      </c>
      <c r="E205" s="1" t="s">
        <v>720</v>
      </c>
      <c r="F205" s="1" t="s">
        <v>387</v>
      </c>
      <c r="G205" s="1" t="s">
        <v>258</v>
      </c>
      <c r="H205" s="1" t="s">
        <v>388</v>
      </c>
      <c r="I205" s="1" t="s">
        <v>171</v>
      </c>
      <c r="J205" s="1" t="s">
        <v>394</v>
      </c>
      <c r="K205">
        <v>8</v>
      </c>
      <c r="L205" s="1" t="s">
        <v>684</v>
      </c>
      <c r="M205">
        <v>10</v>
      </c>
      <c r="N205" s="1" t="s">
        <v>684</v>
      </c>
      <c r="O205" s="1" t="s">
        <v>474</v>
      </c>
      <c r="P205">
        <v>4.4000000000000004</v>
      </c>
      <c r="Q205" s="1" t="s">
        <v>670</v>
      </c>
      <c r="R205" s="1" t="s">
        <v>388</v>
      </c>
      <c r="S205" s="1">
        <f t="shared" ca="1" si="3"/>
        <v>0.94066397949402336</v>
      </c>
    </row>
    <row r="206" spans="1:19" x14ac:dyDescent="0.25">
      <c r="A206" s="1" t="s">
        <v>387</v>
      </c>
      <c r="B206" s="1" t="s">
        <v>664</v>
      </c>
      <c r="C206" s="1" t="s">
        <v>396</v>
      </c>
      <c r="D206" s="1" t="s">
        <v>666</v>
      </c>
      <c r="E206" s="1" t="s">
        <v>721</v>
      </c>
      <c r="F206" s="1" t="s">
        <v>387</v>
      </c>
      <c r="G206" s="1" t="s">
        <v>171</v>
      </c>
      <c r="H206" s="1" t="s">
        <v>394</v>
      </c>
      <c r="I206" s="1" t="s">
        <v>63</v>
      </c>
      <c r="J206" s="1" t="s">
        <v>394</v>
      </c>
      <c r="K206">
        <v>1</v>
      </c>
      <c r="L206" s="1" t="s">
        <v>668</v>
      </c>
      <c r="M206">
        <v>40</v>
      </c>
      <c r="N206" s="1" t="s">
        <v>668</v>
      </c>
      <c r="O206" s="1" t="s">
        <v>105</v>
      </c>
      <c r="P206">
        <v>0.47</v>
      </c>
      <c r="Q206" s="1" t="s">
        <v>390</v>
      </c>
      <c r="R206" s="1" t="s">
        <v>388</v>
      </c>
      <c r="S206" s="1">
        <f t="shared" ca="1" si="3"/>
        <v>0.30014191402379886</v>
      </c>
    </row>
    <row r="207" spans="1:19" x14ac:dyDescent="0.25">
      <c r="A207" s="1" t="s">
        <v>387</v>
      </c>
      <c r="B207" s="1" t="s">
        <v>664</v>
      </c>
      <c r="C207" s="1" t="s">
        <v>396</v>
      </c>
      <c r="D207" s="1" t="s">
        <v>671</v>
      </c>
      <c r="E207" s="1" t="s">
        <v>722</v>
      </c>
      <c r="F207" s="1" t="s">
        <v>387</v>
      </c>
      <c r="G207" s="1" t="s">
        <v>171</v>
      </c>
      <c r="H207" s="1" t="s">
        <v>394</v>
      </c>
      <c r="I207" s="1" t="s">
        <v>63</v>
      </c>
      <c r="J207" s="1" t="s">
        <v>394</v>
      </c>
      <c r="K207">
        <v>40</v>
      </c>
      <c r="L207" s="1" t="s">
        <v>668</v>
      </c>
      <c r="M207">
        <v>1</v>
      </c>
      <c r="N207" s="1" t="s">
        <v>673</v>
      </c>
      <c r="O207" s="1" t="s">
        <v>710</v>
      </c>
      <c r="P207">
        <v>0.24</v>
      </c>
      <c r="Q207" s="1" t="s">
        <v>390</v>
      </c>
      <c r="R207" s="1" t="s">
        <v>388</v>
      </c>
      <c r="S207" s="1">
        <f t="shared" ca="1" si="3"/>
        <v>0.48281009940005037</v>
      </c>
    </row>
    <row r="208" spans="1:19" x14ac:dyDescent="0.25">
      <c r="A208" s="1" t="s">
        <v>387</v>
      </c>
      <c r="B208" s="1" t="s">
        <v>664</v>
      </c>
      <c r="C208" s="1" t="s">
        <v>396</v>
      </c>
      <c r="D208" s="1" t="s">
        <v>674</v>
      </c>
      <c r="E208" s="1" t="s">
        <v>723</v>
      </c>
      <c r="F208" s="1" t="s">
        <v>387</v>
      </c>
      <c r="G208" s="1" t="s">
        <v>171</v>
      </c>
      <c r="H208" s="1" t="s">
        <v>394</v>
      </c>
      <c r="I208" s="1" t="s">
        <v>63</v>
      </c>
      <c r="J208" s="1" t="s">
        <v>394</v>
      </c>
      <c r="K208">
        <v>1</v>
      </c>
      <c r="L208" s="1" t="s">
        <v>673</v>
      </c>
      <c r="M208">
        <v>20</v>
      </c>
      <c r="N208" s="1" t="s">
        <v>673</v>
      </c>
      <c r="O208" s="1" t="s">
        <v>645</v>
      </c>
      <c r="P208">
        <v>0.26</v>
      </c>
      <c r="Q208" s="1" t="s">
        <v>670</v>
      </c>
      <c r="R208" s="1" t="s">
        <v>388</v>
      </c>
      <c r="S208" s="1">
        <f t="shared" ca="1" si="3"/>
        <v>3.9704671386084911E-3</v>
      </c>
    </row>
    <row r="209" spans="1:19" x14ac:dyDescent="0.25">
      <c r="A209" s="1" t="s">
        <v>387</v>
      </c>
      <c r="B209" s="1" t="s">
        <v>664</v>
      </c>
      <c r="C209" s="1" t="s">
        <v>396</v>
      </c>
      <c r="D209" s="1" t="s">
        <v>676</v>
      </c>
      <c r="E209" s="1" t="s">
        <v>724</v>
      </c>
      <c r="F209" s="1" t="s">
        <v>387</v>
      </c>
      <c r="G209" s="1" t="s">
        <v>171</v>
      </c>
      <c r="H209" s="1" t="s">
        <v>394</v>
      </c>
      <c r="I209" s="1" t="s">
        <v>63</v>
      </c>
      <c r="J209" s="1" t="s">
        <v>394</v>
      </c>
      <c r="K209">
        <v>20</v>
      </c>
      <c r="L209" s="1" t="s">
        <v>673</v>
      </c>
      <c r="M209">
        <v>50</v>
      </c>
      <c r="N209" s="1" t="s">
        <v>673</v>
      </c>
      <c r="O209" s="1" t="s">
        <v>657</v>
      </c>
      <c r="P209">
        <v>0.24</v>
      </c>
      <c r="Q209" s="1" t="s">
        <v>670</v>
      </c>
      <c r="R209" s="1" t="s">
        <v>388</v>
      </c>
      <c r="S209" s="1">
        <f t="shared" ca="1" si="3"/>
        <v>9.2335176596347934E-2</v>
      </c>
    </row>
    <row r="210" spans="1:19" x14ac:dyDescent="0.25">
      <c r="A210" s="1" t="s">
        <v>387</v>
      </c>
      <c r="B210" s="1" t="s">
        <v>664</v>
      </c>
      <c r="C210" s="1" t="s">
        <v>396</v>
      </c>
      <c r="D210" s="1" t="s">
        <v>678</v>
      </c>
      <c r="E210" s="1" t="s">
        <v>725</v>
      </c>
      <c r="F210" s="1" t="s">
        <v>387</v>
      </c>
      <c r="G210" s="1" t="s">
        <v>171</v>
      </c>
      <c r="H210" s="1" t="s">
        <v>394</v>
      </c>
      <c r="I210" s="1" t="s">
        <v>63</v>
      </c>
      <c r="J210" s="1" t="s">
        <v>394</v>
      </c>
      <c r="K210">
        <v>50</v>
      </c>
      <c r="L210" s="1" t="s">
        <v>673</v>
      </c>
      <c r="M210">
        <v>100</v>
      </c>
      <c r="N210" s="1" t="s">
        <v>673</v>
      </c>
      <c r="O210" s="1" t="s">
        <v>696</v>
      </c>
      <c r="P210">
        <v>0.28000000000000003</v>
      </c>
      <c r="Q210" s="1" t="s">
        <v>670</v>
      </c>
      <c r="R210" s="1" t="s">
        <v>388</v>
      </c>
      <c r="S210" s="1">
        <f t="shared" ca="1" si="3"/>
        <v>0.80365076073048958</v>
      </c>
    </row>
    <row r="211" spans="1:19" x14ac:dyDescent="0.25">
      <c r="A211" s="1" t="s">
        <v>387</v>
      </c>
      <c r="B211" s="1" t="s">
        <v>664</v>
      </c>
      <c r="C211" s="1" t="s">
        <v>396</v>
      </c>
      <c r="D211" s="1" t="s">
        <v>680</v>
      </c>
      <c r="E211" s="1" t="s">
        <v>726</v>
      </c>
      <c r="F211" s="1" t="s">
        <v>387</v>
      </c>
      <c r="G211" s="1" t="s">
        <v>171</v>
      </c>
      <c r="H211" s="1" t="s">
        <v>394</v>
      </c>
      <c r="I211" s="1" t="s">
        <v>63</v>
      </c>
      <c r="J211" s="1" t="s">
        <v>394</v>
      </c>
      <c r="K211">
        <v>100</v>
      </c>
      <c r="L211" s="1" t="s">
        <v>673</v>
      </c>
      <c r="M211">
        <v>300</v>
      </c>
      <c r="N211" s="1" t="s">
        <v>673</v>
      </c>
      <c r="O211" s="1" t="s">
        <v>597</v>
      </c>
      <c r="P211">
        <v>1.2</v>
      </c>
      <c r="Q211" s="1" t="s">
        <v>670</v>
      </c>
      <c r="R211" s="1" t="s">
        <v>388</v>
      </c>
      <c r="S211" s="1">
        <f t="shared" ca="1" si="3"/>
        <v>0.35624530805494004</v>
      </c>
    </row>
    <row r="212" spans="1:19" x14ac:dyDescent="0.25">
      <c r="A212" s="1" t="s">
        <v>387</v>
      </c>
      <c r="B212" s="1" t="s">
        <v>664</v>
      </c>
      <c r="C212" s="1" t="s">
        <v>396</v>
      </c>
      <c r="D212" s="1" t="s">
        <v>698</v>
      </c>
      <c r="E212" s="1" t="s">
        <v>727</v>
      </c>
      <c r="F212" s="1" t="s">
        <v>387</v>
      </c>
      <c r="G212" s="1" t="s">
        <v>171</v>
      </c>
      <c r="H212" s="1" t="s">
        <v>394</v>
      </c>
      <c r="I212" s="1" t="s">
        <v>63</v>
      </c>
      <c r="J212" s="1" t="s">
        <v>394</v>
      </c>
      <c r="K212">
        <v>300</v>
      </c>
      <c r="L212" s="1" t="s">
        <v>673</v>
      </c>
      <c r="M212">
        <v>1</v>
      </c>
      <c r="N212" s="1" t="s">
        <v>684</v>
      </c>
      <c r="O212" s="1" t="s">
        <v>700</v>
      </c>
      <c r="P212">
        <v>1.2</v>
      </c>
      <c r="Q212" s="1" t="s">
        <v>670</v>
      </c>
      <c r="R212" s="1" t="s">
        <v>388</v>
      </c>
      <c r="S212" s="1">
        <f t="shared" ca="1" si="3"/>
        <v>0.64636293556755875</v>
      </c>
    </row>
    <row r="213" spans="1:19" x14ac:dyDescent="0.25">
      <c r="A213" s="1" t="s">
        <v>387</v>
      </c>
      <c r="B213" s="1" t="s">
        <v>664</v>
      </c>
      <c r="C213" s="1" t="s">
        <v>396</v>
      </c>
      <c r="D213" s="1" t="s">
        <v>701</v>
      </c>
      <c r="E213" s="1" t="s">
        <v>728</v>
      </c>
      <c r="F213" s="1" t="s">
        <v>387</v>
      </c>
      <c r="G213" s="1" t="s">
        <v>171</v>
      </c>
      <c r="H213" s="1" t="s">
        <v>394</v>
      </c>
      <c r="I213" s="1" t="s">
        <v>63</v>
      </c>
      <c r="J213" s="1" t="s">
        <v>394</v>
      </c>
      <c r="K213">
        <v>1</v>
      </c>
      <c r="L213" s="1" t="s">
        <v>684</v>
      </c>
      <c r="M213">
        <v>2</v>
      </c>
      <c r="N213" s="1" t="s">
        <v>684</v>
      </c>
      <c r="O213" s="1" t="s">
        <v>589</v>
      </c>
      <c r="P213">
        <v>4.5999999999999996</v>
      </c>
      <c r="Q213" s="1" t="s">
        <v>670</v>
      </c>
      <c r="R213" s="1" t="s">
        <v>388</v>
      </c>
      <c r="S213" s="1">
        <f t="shared" ca="1" si="3"/>
        <v>0.50297800700836826</v>
      </c>
    </row>
    <row r="214" spans="1:19" x14ac:dyDescent="0.25">
      <c r="A214" s="1" t="s">
        <v>387</v>
      </c>
      <c r="B214" s="1" t="s">
        <v>664</v>
      </c>
      <c r="C214" s="1" t="s">
        <v>396</v>
      </c>
      <c r="D214" s="1" t="s">
        <v>703</v>
      </c>
      <c r="E214" s="1" t="s">
        <v>729</v>
      </c>
      <c r="F214" s="1" t="s">
        <v>387</v>
      </c>
      <c r="G214" s="1" t="s">
        <v>171</v>
      </c>
      <c r="H214" s="1" t="s">
        <v>394</v>
      </c>
      <c r="I214" s="1" t="s">
        <v>63</v>
      </c>
      <c r="J214" s="1" t="s">
        <v>394</v>
      </c>
      <c r="K214">
        <v>2</v>
      </c>
      <c r="L214" s="1" t="s">
        <v>684</v>
      </c>
      <c r="M214">
        <v>4</v>
      </c>
      <c r="N214" s="1" t="s">
        <v>684</v>
      </c>
      <c r="O214" s="1" t="s">
        <v>195</v>
      </c>
      <c r="P214">
        <v>11</v>
      </c>
      <c r="Q214" s="1" t="s">
        <v>670</v>
      </c>
      <c r="R214" s="1" t="s">
        <v>388</v>
      </c>
      <c r="S214" s="1">
        <f t="shared" ca="1" si="3"/>
        <v>0.24712703440468309</v>
      </c>
    </row>
    <row r="215" spans="1:19" x14ac:dyDescent="0.25">
      <c r="A215" s="1" t="s">
        <v>387</v>
      </c>
      <c r="B215" s="1" t="s">
        <v>664</v>
      </c>
      <c r="C215" s="1" t="s">
        <v>396</v>
      </c>
      <c r="D215" s="1" t="s">
        <v>688</v>
      </c>
      <c r="E215" s="1" t="s">
        <v>730</v>
      </c>
      <c r="F215" s="1" t="s">
        <v>387</v>
      </c>
      <c r="G215" s="1" t="s">
        <v>171</v>
      </c>
      <c r="H215" s="1" t="s">
        <v>394</v>
      </c>
      <c r="I215" s="1" t="s">
        <v>63</v>
      </c>
      <c r="J215" s="1" t="s">
        <v>394</v>
      </c>
      <c r="K215">
        <v>4</v>
      </c>
      <c r="L215" s="1" t="s">
        <v>684</v>
      </c>
      <c r="M215">
        <v>8</v>
      </c>
      <c r="N215" s="1" t="s">
        <v>684</v>
      </c>
      <c r="O215" s="1" t="s">
        <v>195</v>
      </c>
      <c r="P215">
        <v>12</v>
      </c>
      <c r="Q215" s="1" t="s">
        <v>670</v>
      </c>
      <c r="R215" s="1" t="s">
        <v>388</v>
      </c>
      <c r="S215" s="1">
        <f t="shared" ca="1" si="3"/>
        <v>0.38930494379434522</v>
      </c>
    </row>
    <row r="216" spans="1:19" x14ac:dyDescent="0.25">
      <c r="A216" s="1" t="s">
        <v>387</v>
      </c>
      <c r="B216" s="1" t="s">
        <v>664</v>
      </c>
      <c r="C216" s="1" t="s">
        <v>396</v>
      </c>
      <c r="D216" s="1" t="s">
        <v>706</v>
      </c>
      <c r="E216" s="1" t="s">
        <v>731</v>
      </c>
      <c r="F216" s="1" t="s">
        <v>387</v>
      </c>
      <c r="G216" s="1" t="s">
        <v>171</v>
      </c>
      <c r="H216" s="1" t="s">
        <v>394</v>
      </c>
      <c r="I216" s="1" t="s">
        <v>63</v>
      </c>
      <c r="J216" s="1" t="s">
        <v>394</v>
      </c>
      <c r="K216">
        <v>8</v>
      </c>
      <c r="L216" s="1" t="s">
        <v>684</v>
      </c>
      <c r="M216">
        <v>10</v>
      </c>
      <c r="N216" s="1" t="s">
        <v>684</v>
      </c>
      <c r="O216" s="1" t="s">
        <v>474</v>
      </c>
      <c r="P216">
        <v>44</v>
      </c>
      <c r="Q216" s="1" t="s">
        <v>670</v>
      </c>
      <c r="R216" s="1" t="s">
        <v>388</v>
      </c>
      <c r="S216" s="1">
        <f t="shared" ca="1" si="3"/>
        <v>0.34818744325257567</v>
      </c>
    </row>
    <row r="217" spans="1:19" x14ac:dyDescent="0.25">
      <c r="A217" s="1" t="s">
        <v>387</v>
      </c>
      <c r="B217" s="1" t="s">
        <v>664</v>
      </c>
      <c r="C217" s="1" t="s">
        <v>398</v>
      </c>
      <c r="D217" s="1" t="s">
        <v>666</v>
      </c>
      <c r="E217" s="1" t="s">
        <v>732</v>
      </c>
      <c r="F217" s="1" t="s">
        <v>387</v>
      </c>
      <c r="G217" s="1" t="s">
        <v>63</v>
      </c>
      <c r="H217" s="1" t="s">
        <v>394</v>
      </c>
      <c r="I217" s="1" t="s">
        <v>258</v>
      </c>
      <c r="J217" s="1" t="s">
        <v>394</v>
      </c>
      <c r="K217">
        <v>1</v>
      </c>
      <c r="L217" s="1" t="s">
        <v>668</v>
      </c>
      <c r="M217">
        <v>40</v>
      </c>
      <c r="N217" s="1" t="s">
        <v>668</v>
      </c>
      <c r="O217" s="1" t="s">
        <v>343</v>
      </c>
      <c r="P217">
        <v>4.8</v>
      </c>
      <c r="Q217" s="1" t="s">
        <v>670</v>
      </c>
      <c r="R217" s="1" t="s">
        <v>388</v>
      </c>
      <c r="S217" s="1">
        <f t="shared" ca="1" si="3"/>
        <v>0.97468286052389408</v>
      </c>
    </row>
    <row r="218" spans="1:19" x14ac:dyDescent="0.25">
      <c r="A218" s="1" t="s">
        <v>387</v>
      </c>
      <c r="B218" s="1" t="s">
        <v>664</v>
      </c>
      <c r="C218" s="1" t="s">
        <v>398</v>
      </c>
      <c r="D218" s="1" t="s">
        <v>671</v>
      </c>
      <c r="E218" s="1" t="s">
        <v>733</v>
      </c>
      <c r="F218" s="1" t="s">
        <v>387</v>
      </c>
      <c r="G218" s="1" t="s">
        <v>63</v>
      </c>
      <c r="H218" s="1" t="s">
        <v>394</v>
      </c>
      <c r="I218" s="1" t="s">
        <v>258</v>
      </c>
      <c r="J218" s="1" t="s">
        <v>394</v>
      </c>
      <c r="K218">
        <v>40</v>
      </c>
      <c r="L218" s="1" t="s">
        <v>668</v>
      </c>
      <c r="M218">
        <v>1</v>
      </c>
      <c r="N218" s="1" t="s">
        <v>673</v>
      </c>
      <c r="O218" s="1" t="s">
        <v>343</v>
      </c>
      <c r="P218">
        <v>2.5</v>
      </c>
      <c r="Q218" s="1" t="s">
        <v>670</v>
      </c>
      <c r="R218" s="1" t="s">
        <v>388</v>
      </c>
      <c r="S218" s="1">
        <f t="shared" ca="1" si="3"/>
        <v>0.32342763901992533</v>
      </c>
    </row>
    <row r="219" spans="1:19" x14ac:dyDescent="0.25">
      <c r="A219" s="1" t="s">
        <v>387</v>
      </c>
      <c r="B219" s="1" t="s">
        <v>664</v>
      </c>
      <c r="C219" s="1" t="s">
        <v>398</v>
      </c>
      <c r="D219" s="1" t="s">
        <v>674</v>
      </c>
      <c r="E219" s="1" t="s">
        <v>733</v>
      </c>
      <c r="F219" s="1" t="s">
        <v>387</v>
      </c>
      <c r="G219" s="1" t="s">
        <v>63</v>
      </c>
      <c r="H219" s="1" t="s">
        <v>394</v>
      </c>
      <c r="I219" s="1" t="s">
        <v>258</v>
      </c>
      <c r="J219" s="1" t="s">
        <v>394</v>
      </c>
      <c r="K219">
        <v>1</v>
      </c>
      <c r="L219" s="1" t="s">
        <v>673</v>
      </c>
      <c r="M219">
        <v>20</v>
      </c>
      <c r="N219" s="1" t="s">
        <v>673</v>
      </c>
      <c r="O219" s="1" t="s">
        <v>343</v>
      </c>
      <c r="P219">
        <v>2.5</v>
      </c>
      <c r="Q219" s="1" t="s">
        <v>670</v>
      </c>
      <c r="R219" s="1" t="s">
        <v>388</v>
      </c>
      <c r="S219" s="1">
        <f t="shared" ca="1" si="3"/>
        <v>0.35295829071013263</v>
      </c>
    </row>
    <row r="220" spans="1:19" x14ac:dyDescent="0.25">
      <c r="A220" s="1" t="s">
        <v>387</v>
      </c>
      <c r="B220" s="1" t="s">
        <v>664</v>
      </c>
      <c r="C220" s="1" t="s">
        <v>398</v>
      </c>
      <c r="D220" s="1" t="s">
        <v>676</v>
      </c>
      <c r="E220" s="1" t="s">
        <v>734</v>
      </c>
      <c r="F220" s="1" t="s">
        <v>387</v>
      </c>
      <c r="G220" s="1" t="s">
        <v>63</v>
      </c>
      <c r="H220" s="1" t="s">
        <v>394</v>
      </c>
      <c r="I220" s="1" t="s">
        <v>258</v>
      </c>
      <c r="J220" s="1" t="s">
        <v>394</v>
      </c>
      <c r="K220">
        <v>20</v>
      </c>
      <c r="L220" s="1" t="s">
        <v>673</v>
      </c>
      <c r="M220">
        <v>50</v>
      </c>
      <c r="N220" s="1" t="s">
        <v>673</v>
      </c>
      <c r="O220" s="1" t="s">
        <v>193</v>
      </c>
      <c r="P220">
        <v>2.8</v>
      </c>
      <c r="Q220" s="1" t="s">
        <v>670</v>
      </c>
      <c r="R220" s="1" t="s">
        <v>388</v>
      </c>
      <c r="S220" s="1">
        <f t="shared" ca="1" si="3"/>
        <v>0.39625939976201563</v>
      </c>
    </row>
    <row r="221" spans="1:19" x14ac:dyDescent="0.25">
      <c r="A221" s="1" t="s">
        <v>387</v>
      </c>
      <c r="B221" s="1" t="s">
        <v>664</v>
      </c>
      <c r="C221" s="1" t="s">
        <v>398</v>
      </c>
      <c r="D221" s="1" t="s">
        <v>678</v>
      </c>
      <c r="E221" s="1" t="s">
        <v>735</v>
      </c>
      <c r="F221" s="1" t="s">
        <v>387</v>
      </c>
      <c r="G221" s="1" t="s">
        <v>63</v>
      </c>
      <c r="H221" s="1" t="s">
        <v>394</v>
      </c>
      <c r="I221" s="1" t="s">
        <v>258</v>
      </c>
      <c r="J221" s="1" t="s">
        <v>394</v>
      </c>
      <c r="K221">
        <v>50</v>
      </c>
      <c r="L221" s="1" t="s">
        <v>673</v>
      </c>
      <c r="M221">
        <v>100</v>
      </c>
      <c r="N221" s="1" t="s">
        <v>673</v>
      </c>
      <c r="O221" s="1" t="s">
        <v>736</v>
      </c>
      <c r="P221">
        <v>2.4</v>
      </c>
      <c r="Q221" s="1" t="s">
        <v>670</v>
      </c>
      <c r="R221" s="1" t="s">
        <v>388</v>
      </c>
      <c r="S221" s="1">
        <f t="shared" ca="1" si="3"/>
        <v>0.8458400524611962</v>
      </c>
    </row>
    <row r="222" spans="1:19" x14ac:dyDescent="0.25">
      <c r="A222" s="1" t="s">
        <v>387</v>
      </c>
      <c r="B222" s="1" t="s">
        <v>664</v>
      </c>
      <c r="C222" s="1" t="s">
        <v>398</v>
      </c>
      <c r="D222" s="1" t="s">
        <v>680</v>
      </c>
      <c r="E222" s="1" t="s">
        <v>737</v>
      </c>
      <c r="F222" s="1" t="s">
        <v>387</v>
      </c>
      <c r="G222" s="1" t="s">
        <v>63</v>
      </c>
      <c r="H222" s="1" t="s">
        <v>394</v>
      </c>
      <c r="I222" s="1" t="s">
        <v>258</v>
      </c>
      <c r="J222" s="1" t="s">
        <v>394</v>
      </c>
      <c r="K222">
        <v>100</v>
      </c>
      <c r="L222" s="1" t="s">
        <v>673</v>
      </c>
      <c r="M222">
        <v>300</v>
      </c>
      <c r="N222" s="1" t="s">
        <v>673</v>
      </c>
      <c r="O222" s="1" t="s">
        <v>524</v>
      </c>
      <c r="P222">
        <v>14</v>
      </c>
      <c r="Q222" s="1" t="s">
        <v>670</v>
      </c>
      <c r="R222" s="1" t="s">
        <v>388</v>
      </c>
      <c r="S222" s="1">
        <f t="shared" ca="1" si="3"/>
        <v>0.22033869002576922</v>
      </c>
    </row>
    <row r="223" spans="1:19" x14ac:dyDescent="0.25">
      <c r="A223" s="1" t="s">
        <v>387</v>
      </c>
      <c r="B223" s="1" t="s">
        <v>664</v>
      </c>
      <c r="C223" s="1" t="s">
        <v>398</v>
      </c>
      <c r="D223" s="1" t="s">
        <v>698</v>
      </c>
      <c r="E223" s="1" t="s">
        <v>738</v>
      </c>
      <c r="F223" s="1" t="s">
        <v>387</v>
      </c>
      <c r="G223" s="1" t="s">
        <v>63</v>
      </c>
      <c r="H223" s="1" t="s">
        <v>394</v>
      </c>
      <c r="I223" s="1" t="s">
        <v>258</v>
      </c>
      <c r="J223" s="1" t="s">
        <v>394</v>
      </c>
      <c r="K223">
        <v>300</v>
      </c>
      <c r="L223" s="1" t="s">
        <v>673</v>
      </c>
      <c r="M223">
        <v>1</v>
      </c>
      <c r="N223" s="1" t="s">
        <v>684</v>
      </c>
      <c r="O223" s="1" t="s">
        <v>589</v>
      </c>
      <c r="P223">
        <v>44</v>
      </c>
      <c r="Q223" s="1" t="s">
        <v>670</v>
      </c>
      <c r="R223" s="1" t="s">
        <v>388</v>
      </c>
      <c r="S223" s="1">
        <f t="shared" ca="1" si="3"/>
        <v>0.61599758797549287</v>
      </c>
    </row>
    <row r="224" spans="1:19" x14ac:dyDescent="0.25">
      <c r="A224" s="1" t="s">
        <v>387</v>
      </c>
      <c r="B224" s="1" t="s">
        <v>664</v>
      </c>
      <c r="C224" s="1" t="s">
        <v>401</v>
      </c>
      <c r="D224" s="1" t="s">
        <v>666</v>
      </c>
      <c r="E224" s="1" t="s">
        <v>739</v>
      </c>
      <c r="F224" s="1" t="s">
        <v>387</v>
      </c>
      <c r="G224" s="1" t="s">
        <v>258</v>
      </c>
      <c r="H224" s="1" t="s">
        <v>394</v>
      </c>
      <c r="I224" s="1" t="s">
        <v>403</v>
      </c>
      <c r="J224" s="1" t="s">
        <v>394</v>
      </c>
      <c r="K224">
        <v>1</v>
      </c>
      <c r="L224" s="1" t="s">
        <v>668</v>
      </c>
      <c r="M224">
        <v>40</v>
      </c>
      <c r="N224" s="1" t="s">
        <v>668</v>
      </c>
      <c r="O224" s="1" t="s">
        <v>740</v>
      </c>
      <c r="P224">
        <v>49</v>
      </c>
      <c r="Q224" s="1" t="s">
        <v>670</v>
      </c>
      <c r="R224" s="1" t="s">
        <v>388</v>
      </c>
      <c r="S224" s="1">
        <f t="shared" ca="1" si="3"/>
        <v>0.39619059589043548</v>
      </c>
    </row>
    <row r="225" spans="1:19" x14ac:dyDescent="0.25">
      <c r="A225" s="1" t="s">
        <v>387</v>
      </c>
      <c r="B225" s="1" t="s">
        <v>664</v>
      </c>
      <c r="C225" s="1" t="s">
        <v>401</v>
      </c>
      <c r="D225" s="1" t="s">
        <v>671</v>
      </c>
      <c r="E225" s="1" t="s">
        <v>741</v>
      </c>
      <c r="F225" s="1" t="s">
        <v>387</v>
      </c>
      <c r="G225" s="1" t="s">
        <v>258</v>
      </c>
      <c r="H225" s="1" t="s">
        <v>394</v>
      </c>
      <c r="I225" s="1" t="s">
        <v>403</v>
      </c>
      <c r="J225" s="1" t="s">
        <v>394</v>
      </c>
      <c r="K225">
        <v>40</v>
      </c>
      <c r="L225" s="1" t="s">
        <v>668</v>
      </c>
      <c r="M225">
        <v>1</v>
      </c>
      <c r="N225" s="1" t="s">
        <v>673</v>
      </c>
      <c r="O225" s="1" t="s">
        <v>740</v>
      </c>
      <c r="P225">
        <v>26</v>
      </c>
      <c r="Q225" s="1" t="s">
        <v>670</v>
      </c>
      <c r="R225" s="1" t="s">
        <v>388</v>
      </c>
      <c r="S225" s="1">
        <f t="shared" ca="1" si="3"/>
        <v>6.7000276847589357E-2</v>
      </c>
    </row>
    <row r="226" spans="1:19" x14ac:dyDescent="0.25">
      <c r="A226" s="1" t="s">
        <v>387</v>
      </c>
      <c r="B226" s="1" t="s">
        <v>664</v>
      </c>
      <c r="C226" s="1" t="s">
        <v>401</v>
      </c>
      <c r="D226" s="1" t="s">
        <v>674</v>
      </c>
      <c r="E226" s="1" t="s">
        <v>742</v>
      </c>
      <c r="F226" s="1" t="s">
        <v>387</v>
      </c>
      <c r="G226" s="1" t="s">
        <v>258</v>
      </c>
      <c r="H226" s="1" t="s">
        <v>394</v>
      </c>
      <c r="I226" s="1" t="s">
        <v>403</v>
      </c>
      <c r="J226" s="1" t="s">
        <v>394</v>
      </c>
      <c r="K226">
        <v>1</v>
      </c>
      <c r="L226" s="1" t="s">
        <v>673</v>
      </c>
      <c r="M226">
        <v>20</v>
      </c>
      <c r="N226" s="1" t="s">
        <v>673</v>
      </c>
      <c r="O226" s="1" t="s">
        <v>743</v>
      </c>
      <c r="P226">
        <v>23</v>
      </c>
      <c r="Q226" s="1" t="s">
        <v>670</v>
      </c>
      <c r="R226" s="1" t="s">
        <v>388</v>
      </c>
      <c r="S226" s="1">
        <f t="shared" ca="1" si="3"/>
        <v>6.573726803765545E-2</v>
      </c>
    </row>
    <row r="227" spans="1:19" x14ac:dyDescent="0.25">
      <c r="A227" s="1" t="s">
        <v>387</v>
      </c>
      <c r="B227" s="1" t="s">
        <v>664</v>
      </c>
      <c r="C227" s="1" t="s">
        <v>401</v>
      </c>
      <c r="D227" s="1" t="s">
        <v>676</v>
      </c>
      <c r="E227" s="1" t="s">
        <v>744</v>
      </c>
      <c r="F227" s="1" t="s">
        <v>387</v>
      </c>
      <c r="G227" s="1" t="s">
        <v>258</v>
      </c>
      <c r="H227" s="1" t="s">
        <v>394</v>
      </c>
      <c r="I227" s="1" t="s">
        <v>403</v>
      </c>
      <c r="J227" s="1" t="s">
        <v>394</v>
      </c>
      <c r="K227">
        <v>20</v>
      </c>
      <c r="L227" s="1" t="s">
        <v>673</v>
      </c>
      <c r="M227">
        <v>50</v>
      </c>
      <c r="N227" s="1" t="s">
        <v>673</v>
      </c>
      <c r="O227" s="1" t="s">
        <v>736</v>
      </c>
      <c r="P227">
        <v>23</v>
      </c>
      <c r="Q227" s="1" t="s">
        <v>670</v>
      </c>
      <c r="R227" s="1" t="s">
        <v>388</v>
      </c>
      <c r="S227" s="1">
        <f t="shared" ca="1" si="3"/>
        <v>0.64939327575538164</v>
      </c>
    </row>
    <row r="228" spans="1:19" x14ac:dyDescent="0.25">
      <c r="A228" s="1" t="s">
        <v>387</v>
      </c>
      <c r="B228" s="1" t="s">
        <v>664</v>
      </c>
      <c r="C228" s="1" t="s">
        <v>401</v>
      </c>
      <c r="D228" s="1" t="s">
        <v>678</v>
      </c>
      <c r="E228" s="1" t="s">
        <v>745</v>
      </c>
      <c r="F228" s="1" t="s">
        <v>387</v>
      </c>
      <c r="G228" s="1" t="s">
        <v>258</v>
      </c>
      <c r="H228" s="1" t="s">
        <v>394</v>
      </c>
      <c r="I228" s="1" t="s">
        <v>403</v>
      </c>
      <c r="J228" s="1" t="s">
        <v>394</v>
      </c>
      <c r="K228">
        <v>50</v>
      </c>
      <c r="L228" s="1" t="s">
        <v>673</v>
      </c>
      <c r="M228">
        <v>100</v>
      </c>
      <c r="N228" s="1" t="s">
        <v>673</v>
      </c>
      <c r="O228" s="1" t="s">
        <v>597</v>
      </c>
      <c r="P228">
        <v>23</v>
      </c>
      <c r="Q228" s="1" t="s">
        <v>670</v>
      </c>
      <c r="R228" s="1" t="s">
        <v>388</v>
      </c>
      <c r="S228" s="1">
        <f t="shared" ca="1" si="3"/>
        <v>0.53373634296807959</v>
      </c>
    </row>
    <row r="229" spans="1:19" x14ac:dyDescent="0.25">
      <c r="A229" s="1" t="s">
        <v>546</v>
      </c>
      <c r="B229" s="1" t="s">
        <v>746</v>
      </c>
      <c r="C229" s="1" t="s">
        <v>665</v>
      </c>
      <c r="D229" s="1" t="s">
        <v>666</v>
      </c>
      <c r="E229" s="1" t="s">
        <v>667</v>
      </c>
      <c r="F229" s="1" t="s">
        <v>546</v>
      </c>
      <c r="G229" s="1" t="s">
        <v>171</v>
      </c>
      <c r="H229" s="1" t="s">
        <v>388</v>
      </c>
      <c r="I229" s="1" t="s">
        <v>63</v>
      </c>
      <c r="J229" s="1" t="s">
        <v>388</v>
      </c>
      <c r="K229">
        <v>1</v>
      </c>
      <c r="L229" s="1" t="s">
        <v>668</v>
      </c>
      <c r="M229">
        <v>40</v>
      </c>
      <c r="N229" s="1" t="s">
        <v>668</v>
      </c>
      <c r="O229" s="1" t="s">
        <v>669</v>
      </c>
      <c r="P229">
        <v>3.6</v>
      </c>
      <c r="Q229" s="1" t="s">
        <v>670</v>
      </c>
      <c r="R229" s="1" t="s">
        <v>391</v>
      </c>
      <c r="S229" s="1">
        <f t="shared" ca="1" si="3"/>
        <v>0.88321497463933651</v>
      </c>
    </row>
    <row r="230" spans="1:19" x14ac:dyDescent="0.25">
      <c r="A230" s="1" t="s">
        <v>546</v>
      </c>
      <c r="B230" s="1" t="s">
        <v>746</v>
      </c>
      <c r="C230" s="1" t="s">
        <v>665</v>
      </c>
      <c r="D230" s="1" t="s">
        <v>671</v>
      </c>
      <c r="E230" s="1" t="s">
        <v>747</v>
      </c>
      <c r="F230" s="1" t="s">
        <v>552</v>
      </c>
      <c r="G230" s="1" t="s">
        <v>171</v>
      </c>
      <c r="H230" s="1" t="s">
        <v>388</v>
      </c>
      <c r="I230" s="1" t="s">
        <v>63</v>
      </c>
      <c r="J230" s="1" t="s">
        <v>388</v>
      </c>
      <c r="K230">
        <v>40</v>
      </c>
      <c r="L230" s="1" t="s">
        <v>668</v>
      </c>
      <c r="M230">
        <v>1</v>
      </c>
      <c r="N230" s="1" t="s">
        <v>673</v>
      </c>
      <c r="O230" s="1" t="s">
        <v>748</v>
      </c>
      <c r="P230">
        <v>1.5</v>
      </c>
      <c r="Q230" s="1" t="s">
        <v>670</v>
      </c>
      <c r="R230" s="1" t="s">
        <v>391</v>
      </c>
      <c r="S230" s="1">
        <f t="shared" ca="1" si="3"/>
        <v>0.76377493628514104</v>
      </c>
    </row>
    <row r="231" spans="1:19" x14ac:dyDescent="0.25">
      <c r="A231" s="1" t="s">
        <v>546</v>
      </c>
      <c r="B231" s="1" t="s">
        <v>746</v>
      </c>
      <c r="C231" s="1" t="s">
        <v>665</v>
      </c>
      <c r="D231" s="1" t="s">
        <v>674</v>
      </c>
      <c r="E231" s="1" t="s">
        <v>749</v>
      </c>
      <c r="F231" s="1" t="s">
        <v>552</v>
      </c>
      <c r="G231" s="1" t="s">
        <v>171</v>
      </c>
      <c r="H231" s="1" t="s">
        <v>388</v>
      </c>
      <c r="I231" s="1" t="s">
        <v>63</v>
      </c>
      <c r="J231" s="1" t="s">
        <v>388</v>
      </c>
      <c r="K231">
        <v>1</v>
      </c>
      <c r="L231" s="1" t="s">
        <v>673</v>
      </c>
      <c r="M231">
        <v>20</v>
      </c>
      <c r="N231" s="1" t="s">
        <v>673</v>
      </c>
      <c r="O231" s="1" t="s">
        <v>663</v>
      </c>
      <c r="P231">
        <v>1.5</v>
      </c>
      <c r="Q231" s="1" t="s">
        <v>670</v>
      </c>
      <c r="R231" s="1" t="s">
        <v>391</v>
      </c>
      <c r="S231" s="1">
        <f t="shared" ca="1" si="3"/>
        <v>0.54638322928810668</v>
      </c>
    </row>
    <row r="232" spans="1:19" x14ac:dyDescent="0.25">
      <c r="A232" s="1" t="s">
        <v>546</v>
      </c>
      <c r="B232" s="1" t="s">
        <v>746</v>
      </c>
      <c r="C232" s="1" t="s">
        <v>665</v>
      </c>
      <c r="D232" s="1" t="s">
        <v>676</v>
      </c>
      <c r="E232" s="1" t="s">
        <v>750</v>
      </c>
      <c r="F232" s="1" t="s">
        <v>552</v>
      </c>
      <c r="G232" s="1" t="s">
        <v>171</v>
      </c>
      <c r="H232" s="1" t="s">
        <v>388</v>
      </c>
      <c r="I232" s="1" t="s">
        <v>63</v>
      </c>
      <c r="J232" s="1" t="s">
        <v>388</v>
      </c>
      <c r="K232">
        <v>20</v>
      </c>
      <c r="L232" s="1" t="s">
        <v>673</v>
      </c>
      <c r="M232">
        <v>50</v>
      </c>
      <c r="N232" s="1" t="s">
        <v>673</v>
      </c>
      <c r="O232" s="1" t="s">
        <v>337</v>
      </c>
      <c r="P232">
        <v>1.9</v>
      </c>
      <c r="Q232" s="1" t="s">
        <v>670</v>
      </c>
      <c r="R232" s="1" t="s">
        <v>391</v>
      </c>
      <c r="S232" s="1">
        <f t="shared" ca="1" si="3"/>
        <v>0.47259830275652581</v>
      </c>
    </row>
    <row r="233" spans="1:19" x14ac:dyDescent="0.25">
      <c r="A233" s="1" t="s">
        <v>546</v>
      </c>
      <c r="B233" s="1" t="s">
        <v>746</v>
      </c>
      <c r="C233" s="1" t="s">
        <v>665</v>
      </c>
      <c r="D233" s="1" t="s">
        <v>678</v>
      </c>
      <c r="E233" s="1" t="s">
        <v>751</v>
      </c>
      <c r="F233" s="1" t="s">
        <v>552</v>
      </c>
      <c r="G233" s="1" t="s">
        <v>171</v>
      </c>
      <c r="H233" s="1" t="s">
        <v>388</v>
      </c>
      <c r="I233" s="1" t="s">
        <v>63</v>
      </c>
      <c r="J233" s="1" t="s">
        <v>388</v>
      </c>
      <c r="K233">
        <v>50</v>
      </c>
      <c r="L233" s="1" t="s">
        <v>673</v>
      </c>
      <c r="M233">
        <v>100</v>
      </c>
      <c r="N233" s="1" t="s">
        <v>673</v>
      </c>
      <c r="O233" s="1" t="s">
        <v>497</v>
      </c>
      <c r="P233">
        <v>1.5</v>
      </c>
      <c r="Q233" s="1" t="s">
        <v>670</v>
      </c>
      <c r="R233" s="1" t="s">
        <v>391</v>
      </c>
      <c r="S233" s="1">
        <f t="shared" ca="1" si="3"/>
        <v>0.35541963362171969</v>
      </c>
    </row>
    <row r="234" spans="1:19" x14ac:dyDescent="0.25">
      <c r="A234" s="1" t="s">
        <v>546</v>
      </c>
      <c r="B234" s="1" t="s">
        <v>746</v>
      </c>
      <c r="C234" s="1" t="s">
        <v>665</v>
      </c>
      <c r="D234" s="1" t="s">
        <v>680</v>
      </c>
      <c r="E234" s="1" t="s">
        <v>681</v>
      </c>
      <c r="F234" s="1" t="s">
        <v>552</v>
      </c>
      <c r="G234" s="1" t="s">
        <v>171</v>
      </c>
      <c r="H234" s="1" t="s">
        <v>388</v>
      </c>
      <c r="I234" s="1" t="s">
        <v>63</v>
      </c>
      <c r="J234" s="1" t="s">
        <v>388</v>
      </c>
      <c r="K234">
        <v>100</v>
      </c>
      <c r="L234" s="1" t="s">
        <v>673</v>
      </c>
      <c r="M234">
        <v>300</v>
      </c>
      <c r="N234" s="1" t="s">
        <v>673</v>
      </c>
      <c r="O234" s="1" t="s">
        <v>195</v>
      </c>
      <c r="P234">
        <v>4.2</v>
      </c>
      <c r="Q234" s="1" t="s">
        <v>670</v>
      </c>
      <c r="R234" s="1" t="s">
        <v>391</v>
      </c>
      <c r="S234" s="1">
        <f t="shared" ca="1" si="3"/>
        <v>0.76057436779539889</v>
      </c>
    </row>
    <row r="235" spans="1:19" x14ac:dyDescent="0.25">
      <c r="A235" s="1" t="s">
        <v>546</v>
      </c>
      <c r="B235" s="1" t="s">
        <v>746</v>
      </c>
      <c r="C235" s="1" t="s">
        <v>665</v>
      </c>
      <c r="D235" s="1" t="s">
        <v>698</v>
      </c>
      <c r="E235" s="1" t="s">
        <v>683</v>
      </c>
      <c r="F235" s="1" t="s">
        <v>552</v>
      </c>
      <c r="G235" s="1" t="s">
        <v>171</v>
      </c>
      <c r="H235" s="1" t="s">
        <v>388</v>
      </c>
      <c r="I235" s="1" t="s">
        <v>63</v>
      </c>
      <c r="J235" s="1" t="s">
        <v>388</v>
      </c>
      <c r="K235">
        <v>300</v>
      </c>
      <c r="L235" s="1" t="s">
        <v>673</v>
      </c>
      <c r="M235">
        <v>1</v>
      </c>
      <c r="N235" s="1" t="s">
        <v>684</v>
      </c>
      <c r="O235" s="1" t="s">
        <v>195</v>
      </c>
      <c r="P235">
        <v>7.7</v>
      </c>
      <c r="Q235" s="1" t="s">
        <v>670</v>
      </c>
      <c r="R235" s="1" t="s">
        <v>391</v>
      </c>
      <c r="S235" s="1">
        <f t="shared" ca="1" si="3"/>
        <v>0.95119227902490833</v>
      </c>
    </row>
    <row r="236" spans="1:19" x14ac:dyDescent="0.25">
      <c r="A236" s="1" t="s">
        <v>546</v>
      </c>
      <c r="B236" s="1" t="s">
        <v>746</v>
      </c>
      <c r="C236" s="1" t="s">
        <v>690</v>
      </c>
      <c r="D236" s="1" t="s">
        <v>666</v>
      </c>
      <c r="E236" s="1" t="s">
        <v>691</v>
      </c>
      <c r="F236" s="1" t="s">
        <v>552</v>
      </c>
      <c r="G236" s="1" t="s">
        <v>63</v>
      </c>
      <c r="H236" s="1" t="s">
        <v>388</v>
      </c>
      <c r="I236" s="1" t="s">
        <v>258</v>
      </c>
      <c r="J236" s="1" t="s">
        <v>388</v>
      </c>
      <c r="K236">
        <v>1</v>
      </c>
      <c r="L236" s="1" t="s">
        <v>668</v>
      </c>
      <c r="M236">
        <v>40</v>
      </c>
      <c r="N236" s="1" t="s">
        <v>668</v>
      </c>
      <c r="O236" s="1" t="s">
        <v>105</v>
      </c>
      <c r="P236">
        <v>4.7</v>
      </c>
      <c r="Q236" s="1" t="s">
        <v>390</v>
      </c>
      <c r="R236" s="1" t="s">
        <v>391</v>
      </c>
      <c r="S236" s="1">
        <f t="shared" ca="1" si="3"/>
        <v>0.57787295222190715</v>
      </c>
    </row>
    <row r="237" spans="1:19" x14ac:dyDescent="0.25">
      <c r="A237" s="1" t="s">
        <v>546</v>
      </c>
      <c r="B237" s="1" t="s">
        <v>746</v>
      </c>
      <c r="C237" s="1" t="s">
        <v>690</v>
      </c>
      <c r="D237" s="1" t="s">
        <v>671</v>
      </c>
      <c r="E237" s="1" t="s">
        <v>692</v>
      </c>
      <c r="F237" s="1" t="s">
        <v>552</v>
      </c>
      <c r="G237" s="1" t="s">
        <v>63</v>
      </c>
      <c r="H237" s="1" t="s">
        <v>388</v>
      </c>
      <c r="I237" s="1" t="s">
        <v>258</v>
      </c>
      <c r="J237" s="1" t="s">
        <v>388</v>
      </c>
      <c r="K237">
        <v>40</v>
      </c>
      <c r="L237" s="1" t="s">
        <v>668</v>
      </c>
      <c r="M237">
        <v>1</v>
      </c>
      <c r="N237" s="1" t="s">
        <v>673</v>
      </c>
      <c r="O237" s="1" t="s">
        <v>105</v>
      </c>
      <c r="P237">
        <v>2.4</v>
      </c>
      <c r="Q237" s="1" t="s">
        <v>390</v>
      </c>
      <c r="R237" s="1" t="s">
        <v>391</v>
      </c>
      <c r="S237" s="1">
        <f t="shared" ca="1" si="3"/>
        <v>0.70157190743416298</v>
      </c>
    </row>
    <row r="238" spans="1:19" x14ac:dyDescent="0.25">
      <c r="A238" s="1" t="s">
        <v>546</v>
      </c>
      <c r="B238" s="1" t="s">
        <v>746</v>
      </c>
      <c r="C238" s="1" t="s">
        <v>690</v>
      </c>
      <c r="D238" s="1" t="s">
        <v>674</v>
      </c>
      <c r="E238" s="1" t="s">
        <v>693</v>
      </c>
      <c r="F238" s="1" t="s">
        <v>552</v>
      </c>
      <c r="G238" s="1" t="s">
        <v>63</v>
      </c>
      <c r="H238" s="1" t="s">
        <v>388</v>
      </c>
      <c r="I238" s="1" t="s">
        <v>258</v>
      </c>
      <c r="J238" s="1" t="s">
        <v>388</v>
      </c>
      <c r="K238">
        <v>1</v>
      </c>
      <c r="L238" s="1" t="s">
        <v>673</v>
      </c>
      <c r="M238">
        <v>20</v>
      </c>
      <c r="N238" s="1" t="s">
        <v>673</v>
      </c>
      <c r="O238" s="1" t="s">
        <v>645</v>
      </c>
      <c r="P238">
        <v>2.7</v>
      </c>
      <c r="Q238" s="1" t="s">
        <v>670</v>
      </c>
      <c r="R238" s="1" t="s">
        <v>391</v>
      </c>
      <c r="S238" s="1">
        <f t="shared" ca="1" si="3"/>
        <v>0.26903223868034176</v>
      </c>
    </row>
    <row r="239" spans="1:19" x14ac:dyDescent="0.25">
      <c r="A239" s="1" t="s">
        <v>546</v>
      </c>
      <c r="B239" s="1" t="s">
        <v>746</v>
      </c>
      <c r="C239" s="1" t="s">
        <v>690</v>
      </c>
      <c r="D239" s="1" t="s">
        <v>676</v>
      </c>
      <c r="E239" s="1" t="s">
        <v>694</v>
      </c>
      <c r="F239" s="1" t="s">
        <v>552</v>
      </c>
      <c r="G239" s="1" t="s">
        <v>63</v>
      </c>
      <c r="H239" s="1" t="s">
        <v>388</v>
      </c>
      <c r="I239" s="1" t="s">
        <v>258</v>
      </c>
      <c r="J239" s="1" t="s">
        <v>388</v>
      </c>
      <c r="K239">
        <v>20</v>
      </c>
      <c r="L239" s="1" t="s">
        <v>673</v>
      </c>
      <c r="M239">
        <v>50</v>
      </c>
      <c r="N239" s="1" t="s">
        <v>673</v>
      </c>
      <c r="O239" s="1" t="s">
        <v>657</v>
      </c>
      <c r="P239">
        <v>2.4</v>
      </c>
      <c r="Q239" s="1" t="s">
        <v>670</v>
      </c>
      <c r="R239" s="1" t="s">
        <v>391</v>
      </c>
      <c r="S239" s="1">
        <f t="shared" ca="1" si="3"/>
        <v>0.62288591494490386</v>
      </c>
    </row>
    <row r="240" spans="1:19" x14ac:dyDescent="0.25">
      <c r="A240" s="1" t="s">
        <v>546</v>
      </c>
      <c r="B240" s="1" t="s">
        <v>746</v>
      </c>
      <c r="C240" s="1" t="s">
        <v>690</v>
      </c>
      <c r="D240" s="1" t="s">
        <v>678</v>
      </c>
      <c r="E240" s="1" t="s">
        <v>695</v>
      </c>
      <c r="F240" s="1" t="s">
        <v>552</v>
      </c>
      <c r="G240" s="1" t="s">
        <v>63</v>
      </c>
      <c r="H240" s="1" t="s">
        <v>388</v>
      </c>
      <c r="I240" s="1" t="s">
        <v>258</v>
      </c>
      <c r="J240" s="1" t="s">
        <v>388</v>
      </c>
      <c r="K240">
        <v>50</v>
      </c>
      <c r="L240" s="1" t="s">
        <v>673</v>
      </c>
      <c r="M240">
        <v>100</v>
      </c>
      <c r="N240" s="1" t="s">
        <v>673</v>
      </c>
      <c r="O240" s="1" t="s">
        <v>696</v>
      </c>
      <c r="P240">
        <v>2.8</v>
      </c>
      <c r="Q240" s="1" t="s">
        <v>670</v>
      </c>
      <c r="R240" s="1" t="s">
        <v>391</v>
      </c>
      <c r="S240" s="1">
        <f t="shared" ca="1" si="3"/>
        <v>0.70282602438810016</v>
      </c>
    </row>
    <row r="241" spans="1:19" x14ac:dyDescent="0.25">
      <c r="A241" s="1" t="s">
        <v>546</v>
      </c>
      <c r="B241" s="1" t="s">
        <v>746</v>
      </c>
      <c r="C241" s="1" t="s">
        <v>690</v>
      </c>
      <c r="D241" s="1" t="s">
        <v>680</v>
      </c>
      <c r="E241" s="1" t="s">
        <v>697</v>
      </c>
      <c r="F241" s="1" t="s">
        <v>552</v>
      </c>
      <c r="G241" s="1" t="s">
        <v>63</v>
      </c>
      <c r="H241" s="1" t="s">
        <v>388</v>
      </c>
      <c r="I241" s="1" t="s">
        <v>258</v>
      </c>
      <c r="J241" s="1" t="s">
        <v>388</v>
      </c>
      <c r="K241">
        <v>100</v>
      </c>
      <c r="L241" s="1" t="s">
        <v>673</v>
      </c>
      <c r="M241">
        <v>300</v>
      </c>
      <c r="N241" s="1" t="s">
        <v>673</v>
      </c>
      <c r="O241" s="1" t="s">
        <v>597</v>
      </c>
      <c r="P241">
        <v>12</v>
      </c>
      <c r="Q241" s="1" t="s">
        <v>670</v>
      </c>
      <c r="R241" s="1" t="s">
        <v>391</v>
      </c>
      <c r="S241" s="1">
        <f t="shared" ca="1" si="3"/>
        <v>0.12392081467935467</v>
      </c>
    </row>
    <row r="242" spans="1:19" x14ac:dyDescent="0.25">
      <c r="A242" s="1" t="s">
        <v>546</v>
      </c>
      <c r="B242" s="1" t="s">
        <v>746</v>
      </c>
      <c r="C242" s="1" t="s">
        <v>690</v>
      </c>
      <c r="D242" s="1" t="s">
        <v>698</v>
      </c>
      <c r="E242" s="1" t="s">
        <v>699</v>
      </c>
      <c r="F242" s="1" t="s">
        <v>552</v>
      </c>
      <c r="G242" s="1" t="s">
        <v>63</v>
      </c>
      <c r="H242" s="1" t="s">
        <v>388</v>
      </c>
      <c r="I242" s="1" t="s">
        <v>258</v>
      </c>
      <c r="J242" s="1" t="s">
        <v>388</v>
      </c>
      <c r="K242">
        <v>300</v>
      </c>
      <c r="L242" s="1" t="s">
        <v>673</v>
      </c>
      <c r="M242">
        <v>1</v>
      </c>
      <c r="N242" s="1" t="s">
        <v>684</v>
      </c>
      <c r="O242" s="1" t="s">
        <v>700</v>
      </c>
      <c r="P242">
        <v>12</v>
      </c>
      <c r="Q242" s="1" t="s">
        <v>670</v>
      </c>
      <c r="R242" s="1" t="s">
        <v>391</v>
      </c>
      <c r="S242" s="1">
        <f t="shared" ca="1" si="3"/>
        <v>7.301495559634219E-3</v>
      </c>
    </row>
    <row r="243" spans="1:19" x14ac:dyDescent="0.25">
      <c r="A243" s="1" t="s">
        <v>546</v>
      </c>
      <c r="B243" s="1" t="s">
        <v>746</v>
      </c>
      <c r="C243" s="1" t="s">
        <v>708</v>
      </c>
      <c r="D243" s="1" t="s">
        <v>666</v>
      </c>
      <c r="E243" s="1" t="s">
        <v>709</v>
      </c>
      <c r="F243" s="1" t="s">
        <v>552</v>
      </c>
      <c r="G243" s="1" t="s">
        <v>258</v>
      </c>
      <c r="H243" s="1" t="s">
        <v>388</v>
      </c>
      <c r="I243" s="1" t="s">
        <v>171</v>
      </c>
      <c r="J243" s="1" t="s">
        <v>394</v>
      </c>
      <c r="K243">
        <v>1</v>
      </c>
      <c r="L243" s="1" t="s">
        <v>668</v>
      </c>
      <c r="M243">
        <v>40</v>
      </c>
      <c r="N243" s="1" t="s">
        <v>668</v>
      </c>
      <c r="O243" s="1" t="s">
        <v>710</v>
      </c>
      <c r="P243">
        <v>47</v>
      </c>
      <c r="Q243" s="1" t="s">
        <v>390</v>
      </c>
      <c r="R243" s="1" t="s">
        <v>391</v>
      </c>
      <c r="S243" s="1">
        <f t="shared" ca="1" si="3"/>
        <v>0.16152478110830437</v>
      </c>
    </row>
    <row r="244" spans="1:19" x14ac:dyDescent="0.25">
      <c r="A244" s="1" t="s">
        <v>546</v>
      </c>
      <c r="B244" s="1" t="s">
        <v>746</v>
      </c>
      <c r="C244" s="1" t="s">
        <v>708</v>
      </c>
      <c r="D244" s="1" t="s">
        <v>671</v>
      </c>
      <c r="E244" s="1" t="s">
        <v>711</v>
      </c>
      <c r="F244" s="1" t="s">
        <v>552</v>
      </c>
      <c r="G244" s="1" t="s">
        <v>258</v>
      </c>
      <c r="H244" s="1" t="s">
        <v>388</v>
      </c>
      <c r="I244" s="1" t="s">
        <v>171</v>
      </c>
      <c r="J244" s="1" t="s">
        <v>394</v>
      </c>
      <c r="K244">
        <v>40</v>
      </c>
      <c r="L244" s="1" t="s">
        <v>668</v>
      </c>
      <c r="M244">
        <v>1</v>
      </c>
      <c r="N244" s="1" t="s">
        <v>673</v>
      </c>
      <c r="O244" s="1" t="s">
        <v>710</v>
      </c>
      <c r="P244">
        <v>24</v>
      </c>
      <c r="Q244" s="1" t="s">
        <v>390</v>
      </c>
      <c r="R244" s="1" t="s">
        <v>391</v>
      </c>
      <c r="S244" s="1">
        <f t="shared" ca="1" si="3"/>
        <v>0.37794986723657631</v>
      </c>
    </row>
    <row r="245" spans="1:19" x14ac:dyDescent="0.25">
      <c r="A245" s="1" t="s">
        <v>546</v>
      </c>
      <c r="B245" s="1" t="s">
        <v>746</v>
      </c>
      <c r="C245" s="1" t="s">
        <v>708</v>
      </c>
      <c r="D245" s="1" t="s">
        <v>674</v>
      </c>
      <c r="E245" s="1" t="s">
        <v>712</v>
      </c>
      <c r="F245" s="1" t="s">
        <v>552</v>
      </c>
      <c r="G245" s="1" t="s">
        <v>258</v>
      </c>
      <c r="H245" s="1" t="s">
        <v>388</v>
      </c>
      <c r="I245" s="1" t="s">
        <v>171</v>
      </c>
      <c r="J245" s="1" t="s">
        <v>394</v>
      </c>
      <c r="K245">
        <v>1</v>
      </c>
      <c r="L245" s="1" t="s">
        <v>673</v>
      </c>
      <c r="M245">
        <v>20</v>
      </c>
      <c r="N245" s="1" t="s">
        <v>673</v>
      </c>
      <c r="O245" s="1" t="s">
        <v>645</v>
      </c>
      <c r="P245">
        <v>26</v>
      </c>
      <c r="Q245" s="1" t="s">
        <v>670</v>
      </c>
      <c r="R245" s="1" t="s">
        <v>391</v>
      </c>
      <c r="S245" s="1">
        <f t="shared" ca="1" si="3"/>
        <v>8.7423608732308145E-2</v>
      </c>
    </row>
    <row r="246" spans="1:19" x14ac:dyDescent="0.25">
      <c r="A246" s="1" t="s">
        <v>546</v>
      </c>
      <c r="B246" s="1" t="s">
        <v>746</v>
      </c>
      <c r="C246" s="1" t="s">
        <v>708</v>
      </c>
      <c r="D246" s="1" t="s">
        <v>676</v>
      </c>
      <c r="E246" s="1" t="s">
        <v>713</v>
      </c>
      <c r="F246" s="1" t="s">
        <v>552</v>
      </c>
      <c r="G246" s="1" t="s">
        <v>258</v>
      </c>
      <c r="H246" s="1" t="s">
        <v>388</v>
      </c>
      <c r="I246" s="1" t="s">
        <v>171</v>
      </c>
      <c r="J246" s="1" t="s">
        <v>394</v>
      </c>
      <c r="K246">
        <v>20</v>
      </c>
      <c r="L246" s="1" t="s">
        <v>673</v>
      </c>
      <c r="M246">
        <v>50</v>
      </c>
      <c r="N246" s="1" t="s">
        <v>673</v>
      </c>
      <c r="O246" s="1" t="s">
        <v>657</v>
      </c>
      <c r="P246">
        <v>24</v>
      </c>
      <c r="Q246" s="1" t="s">
        <v>670</v>
      </c>
      <c r="R246" s="1" t="s">
        <v>391</v>
      </c>
      <c r="S246" s="1">
        <f t="shared" ca="1" si="3"/>
        <v>0.19308550591861873</v>
      </c>
    </row>
    <row r="247" spans="1:19" x14ac:dyDescent="0.25">
      <c r="A247" s="1" t="s">
        <v>546</v>
      </c>
      <c r="B247" s="1" t="s">
        <v>746</v>
      </c>
      <c r="C247" s="1" t="s">
        <v>708</v>
      </c>
      <c r="D247" s="1" t="s">
        <v>678</v>
      </c>
      <c r="E247" s="1" t="s">
        <v>714</v>
      </c>
      <c r="F247" s="1" t="s">
        <v>552</v>
      </c>
      <c r="G247" s="1" t="s">
        <v>258</v>
      </c>
      <c r="H247" s="1" t="s">
        <v>388</v>
      </c>
      <c r="I247" s="1" t="s">
        <v>171</v>
      </c>
      <c r="J247" s="1" t="s">
        <v>394</v>
      </c>
      <c r="K247">
        <v>50</v>
      </c>
      <c r="L247" s="1" t="s">
        <v>673</v>
      </c>
      <c r="M247">
        <v>100</v>
      </c>
      <c r="N247" s="1" t="s">
        <v>673</v>
      </c>
      <c r="O247" s="1" t="s">
        <v>696</v>
      </c>
      <c r="P247">
        <v>28</v>
      </c>
      <c r="Q247" s="1" t="s">
        <v>670</v>
      </c>
      <c r="R247" s="1" t="s">
        <v>391</v>
      </c>
      <c r="S247" s="1">
        <f t="shared" ca="1" si="3"/>
        <v>0.6968944755723101</v>
      </c>
    </row>
    <row r="248" spans="1:19" x14ac:dyDescent="0.25">
      <c r="A248" s="1" t="s">
        <v>546</v>
      </c>
      <c r="B248" s="1" t="s">
        <v>746</v>
      </c>
      <c r="C248" s="1" t="s">
        <v>708</v>
      </c>
      <c r="D248" s="1" t="s">
        <v>680</v>
      </c>
      <c r="E248" s="1" t="s">
        <v>715</v>
      </c>
      <c r="F248" s="1" t="s">
        <v>552</v>
      </c>
      <c r="G248" s="1" t="s">
        <v>258</v>
      </c>
      <c r="H248" s="1" t="s">
        <v>388</v>
      </c>
      <c r="I248" s="1" t="s">
        <v>171</v>
      </c>
      <c r="J248" s="1" t="s">
        <v>394</v>
      </c>
      <c r="K248">
        <v>100</v>
      </c>
      <c r="L248" s="1" t="s">
        <v>673</v>
      </c>
      <c r="M248">
        <v>300</v>
      </c>
      <c r="N248" s="1" t="s">
        <v>673</v>
      </c>
      <c r="O248" s="1" t="s">
        <v>597</v>
      </c>
      <c r="P248">
        <v>120</v>
      </c>
      <c r="Q248" s="1" t="s">
        <v>670</v>
      </c>
      <c r="R248" s="1" t="s">
        <v>391</v>
      </c>
      <c r="S248" s="1">
        <f t="shared" ca="1" si="3"/>
        <v>0.82190342094658864</v>
      </c>
    </row>
    <row r="249" spans="1:19" x14ac:dyDescent="0.25">
      <c r="A249" s="1" t="s">
        <v>546</v>
      </c>
      <c r="B249" s="1" t="s">
        <v>746</v>
      </c>
      <c r="C249" s="1" t="s">
        <v>708</v>
      </c>
      <c r="D249" s="1" t="s">
        <v>698</v>
      </c>
      <c r="E249" s="1" t="s">
        <v>716</v>
      </c>
      <c r="F249" s="1" t="s">
        <v>552</v>
      </c>
      <c r="G249" s="1" t="s">
        <v>258</v>
      </c>
      <c r="H249" s="1" t="s">
        <v>388</v>
      </c>
      <c r="I249" s="1" t="s">
        <v>171</v>
      </c>
      <c r="J249" s="1" t="s">
        <v>394</v>
      </c>
      <c r="K249">
        <v>300</v>
      </c>
      <c r="L249" s="1" t="s">
        <v>673</v>
      </c>
      <c r="M249">
        <v>1</v>
      </c>
      <c r="N249" s="1" t="s">
        <v>684</v>
      </c>
      <c r="O249" s="1" t="s">
        <v>700</v>
      </c>
      <c r="P249">
        <v>120</v>
      </c>
      <c r="Q249" s="1" t="s">
        <v>670</v>
      </c>
      <c r="R249" s="1" t="s">
        <v>391</v>
      </c>
      <c r="S249" s="1">
        <f t="shared" ca="1" si="3"/>
        <v>0.96869859185641394</v>
      </c>
    </row>
    <row r="250" spans="1:19" x14ac:dyDescent="0.25">
      <c r="A250" s="1" t="s">
        <v>546</v>
      </c>
      <c r="B250" s="1" t="s">
        <v>746</v>
      </c>
      <c r="C250" s="1" t="s">
        <v>396</v>
      </c>
      <c r="D250" s="1" t="s">
        <v>666</v>
      </c>
      <c r="E250" s="1" t="s">
        <v>721</v>
      </c>
      <c r="F250" s="1" t="s">
        <v>546</v>
      </c>
      <c r="G250" s="1" t="s">
        <v>171</v>
      </c>
      <c r="H250" s="1" t="s">
        <v>394</v>
      </c>
      <c r="I250" s="1" t="s">
        <v>63</v>
      </c>
      <c r="J250" s="1" t="s">
        <v>394</v>
      </c>
      <c r="K250">
        <v>1</v>
      </c>
      <c r="L250" s="1" t="s">
        <v>668</v>
      </c>
      <c r="M250">
        <v>40</v>
      </c>
      <c r="N250" s="1" t="s">
        <v>668</v>
      </c>
      <c r="O250" s="1" t="s">
        <v>105</v>
      </c>
      <c r="P250">
        <v>0.47</v>
      </c>
      <c r="Q250" s="1" t="s">
        <v>390</v>
      </c>
      <c r="R250" s="1" t="s">
        <v>388</v>
      </c>
      <c r="S250" s="1">
        <f t="shared" ca="1" si="3"/>
        <v>0.58245113573428375</v>
      </c>
    </row>
    <row r="251" spans="1:19" x14ac:dyDescent="0.25">
      <c r="A251" s="1" t="s">
        <v>546</v>
      </c>
      <c r="B251" s="1" t="s">
        <v>746</v>
      </c>
      <c r="C251" s="1" t="s">
        <v>396</v>
      </c>
      <c r="D251" s="1" t="s">
        <v>671</v>
      </c>
      <c r="E251" s="1" t="s">
        <v>722</v>
      </c>
      <c r="F251" s="1" t="s">
        <v>552</v>
      </c>
      <c r="G251" s="1" t="s">
        <v>171</v>
      </c>
      <c r="H251" s="1" t="s">
        <v>394</v>
      </c>
      <c r="I251" s="1" t="s">
        <v>63</v>
      </c>
      <c r="J251" s="1" t="s">
        <v>394</v>
      </c>
      <c r="K251">
        <v>40</v>
      </c>
      <c r="L251" s="1" t="s">
        <v>668</v>
      </c>
      <c r="M251">
        <v>1</v>
      </c>
      <c r="N251" s="1" t="s">
        <v>673</v>
      </c>
      <c r="O251" s="1" t="s">
        <v>710</v>
      </c>
      <c r="P251">
        <v>0.24</v>
      </c>
      <c r="Q251" s="1" t="s">
        <v>390</v>
      </c>
      <c r="R251" s="1" t="s">
        <v>388</v>
      </c>
      <c r="S251" s="1">
        <f t="shared" ca="1" si="3"/>
        <v>0.79955102147080259</v>
      </c>
    </row>
    <row r="252" spans="1:19" x14ac:dyDescent="0.25">
      <c r="A252" s="1" t="s">
        <v>546</v>
      </c>
      <c r="B252" s="1" t="s">
        <v>746</v>
      </c>
      <c r="C252" s="1" t="s">
        <v>396</v>
      </c>
      <c r="D252" s="1" t="s">
        <v>674</v>
      </c>
      <c r="E252" s="1" t="s">
        <v>723</v>
      </c>
      <c r="F252" s="1" t="s">
        <v>552</v>
      </c>
      <c r="G252" s="1" t="s">
        <v>171</v>
      </c>
      <c r="H252" s="1" t="s">
        <v>394</v>
      </c>
      <c r="I252" s="1" t="s">
        <v>63</v>
      </c>
      <c r="J252" s="1" t="s">
        <v>394</v>
      </c>
      <c r="K252">
        <v>1</v>
      </c>
      <c r="L252" s="1" t="s">
        <v>673</v>
      </c>
      <c r="M252">
        <v>20</v>
      </c>
      <c r="N252" s="1" t="s">
        <v>673</v>
      </c>
      <c r="O252" s="1" t="s">
        <v>645</v>
      </c>
      <c r="P252">
        <v>0.26</v>
      </c>
      <c r="Q252" s="1" t="s">
        <v>670</v>
      </c>
      <c r="R252" s="1" t="s">
        <v>388</v>
      </c>
      <c r="S252" s="1">
        <f t="shared" ca="1" si="3"/>
        <v>7.8994929426581595E-2</v>
      </c>
    </row>
    <row r="253" spans="1:19" x14ac:dyDescent="0.25">
      <c r="A253" s="1" t="s">
        <v>546</v>
      </c>
      <c r="B253" s="1" t="s">
        <v>746</v>
      </c>
      <c r="C253" s="1" t="s">
        <v>396</v>
      </c>
      <c r="D253" s="1" t="s">
        <v>676</v>
      </c>
      <c r="E253" s="1" t="s">
        <v>724</v>
      </c>
      <c r="F253" s="1" t="s">
        <v>552</v>
      </c>
      <c r="G253" s="1" t="s">
        <v>171</v>
      </c>
      <c r="H253" s="1" t="s">
        <v>394</v>
      </c>
      <c r="I253" s="1" t="s">
        <v>63</v>
      </c>
      <c r="J253" s="1" t="s">
        <v>394</v>
      </c>
      <c r="K253">
        <v>20</v>
      </c>
      <c r="L253" s="1" t="s">
        <v>673</v>
      </c>
      <c r="M253">
        <v>50</v>
      </c>
      <c r="N253" s="1" t="s">
        <v>673</v>
      </c>
      <c r="O253" s="1" t="s">
        <v>657</v>
      </c>
      <c r="P253">
        <v>0.24</v>
      </c>
      <c r="Q253" s="1" t="s">
        <v>670</v>
      </c>
      <c r="R253" s="1" t="s">
        <v>388</v>
      </c>
      <c r="S253" s="1">
        <f t="shared" ca="1" si="3"/>
        <v>0.95895711506592118</v>
      </c>
    </row>
    <row r="254" spans="1:19" x14ac:dyDescent="0.25">
      <c r="A254" s="1" t="s">
        <v>546</v>
      </c>
      <c r="B254" s="1" t="s">
        <v>746</v>
      </c>
      <c r="C254" s="1" t="s">
        <v>396</v>
      </c>
      <c r="D254" s="1" t="s">
        <v>678</v>
      </c>
      <c r="E254" s="1" t="s">
        <v>725</v>
      </c>
      <c r="F254" s="1" t="s">
        <v>552</v>
      </c>
      <c r="G254" s="1" t="s">
        <v>171</v>
      </c>
      <c r="H254" s="1" t="s">
        <v>394</v>
      </c>
      <c r="I254" s="1" t="s">
        <v>63</v>
      </c>
      <c r="J254" s="1" t="s">
        <v>394</v>
      </c>
      <c r="K254">
        <v>50</v>
      </c>
      <c r="L254" s="1" t="s">
        <v>673</v>
      </c>
      <c r="M254">
        <v>100</v>
      </c>
      <c r="N254" s="1" t="s">
        <v>673</v>
      </c>
      <c r="O254" s="1" t="s">
        <v>696</v>
      </c>
      <c r="P254">
        <v>0.28000000000000003</v>
      </c>
      <c r="Q254" s="1" t="s">
        <v>670</v>
      </c>
      <c r="R254" s="1" t="s">
        <v>388</v>
      </c>
      <c r="S254" s="1">
        <f t="shared" ca="1" si="3"/>
        <v>7.7171612202372342E-2</v>
      </c>
    </row>
    <row r="255" spans="1:19" x14ac:dyDescent="0.25">
      <c r="A255" s="1" t="s">
        <v>546</v>
      </c>
      <c r="B255" s="1" t="s">
        <v>746</v>
      </c>
      <c r="C255" s="1" t="s">
        <v>396</v>
      </c>
      <c r="D255" s="1" t="s">
        <v>680</v>
      </c>
      <c r="E255" s="1" t="s">
        <v>726</v>
      </c>
      <c r="F255" s="1" t="s">
        <v>552</v>
      </c>
      <c r="G255" s="1" t="s">
        <v>171</v>
      </c>
      <c r="H255" s="1" t="s">
        <v>394</v>
      </c>
      <c r="I255" s="1" t="s">
        <v>63</v>
      </c>
      <c r="J255" s="1" t="s">
        <v>394</v>
      </c>
      <c r="K255">
        <v>100</v>
      </c>
      <c r="L255" s="1" t="s">
        <v>673</v>
      </c>
      <c r="M255">
        <v>300</v>
      </c>
      <c r="N255" s="1" t="s">
        <v>673</v>
      </c>
      <c r="O255" s="1" t="s">
        <v>597</v>
      </c>
      <c r="P255">
        <v>1.2</v>
      </c>
      <c r="Q255" s="1" t="s">
        <v>670</v>
      </c>
      <c r="R255" s="1" t="s">
        <v>388</v>
      </c>
      <c r="S255" s="1">
        <f t="shared" ca="1" si="3"/>
        <v>0.96881613122958954</v>
      </c>
    </row>
    <row r="256" spans="1:19" x14ac:dyDescent="0.25">
      <c r="A256" s="1" t="s">
        <v>546</v>
      </c>
      <c r="B256" s="1" t="s">
        <v>746</v>
      </c>
      <c r="C256" s="1" t="s">
        <v>396</v>
      </c>
      <c r="D256" s="1" t="s">
        <v>698</v>
      </c>
      <c r="E256" s="1" t="s">
        <v>727</v>
      </c>
      <c r="F256" s="1" t="s">
        <v>552</v>
      </c>
      <c r="G256" s="1" t="s">
        <v>171</v>
      </c>
      <c r="H256" s="1" t="s">
        <v>394</v>
      </c>
      <c r="I256" s="1" t="s">
        <v>63</v>
      </c>
      <c r="J256" s="1" t="s">
        <v>394</v>
      </c>
      <c r="K256">
        <v>300</v>
      </c>
      <c r="L256" s="1" t="s">
        <v>673</v>
      </c>
      <c r="M256">
        <v>1</v>
      </c>
      <c r="N256" s="1" t="s">
        <v>684</v>
      </c>
      <c r="O256" s="1" t="s">
        <v>700</v>
      </c>
      <c r="P256">
        <v>1.2</v>
      </c>
      <c r="Q256" s="1" t="s">
        <v>670</v>
      </c>
      <c r="R256" s="1" t="s">
        <v>388</v>
      </c>
      <c r="S256" s="1">
        <f t="shared" ca="1" si="3"/>
        <v>0.69381940536206654</v>
      </c>
    </row>
    <row r="257" spans="1:19" x14ac:dyDescent="0.25">
      <c r="A257" s="1" t="s">
        <v>546</v>
      </c>
      <c r="B257" s="1" t="s">
        <v>746</v>
      </c>
      <c r="C257" s="1" t="s">
        <v>752</v>
      </c>
      <c r="D257" s="1" t="s">
        <v>666</v>
      </c>
      <c r="E257" s="1" t="s">
        <v>753</v>
      </c>
      <c r="F257" s="1" t="s">
        <v>552</v>
      </c>
      <c r="G257" s="1" t="s">
        <v>63</v>
      </c>
      <c r="H257" s="1" t="s">
        <v>394</v>
      </c>
      <c r="I257" s="1" t="s">
        <v>124</v>
      </c>
      <c r="J257" s="1" t="s">
        <v>394</v>
      </c>
      <c r="K257">
        <v>1</v>
      </c>
      <c r="L257" s="1" t="s">
        <v>668</v>
      </c>
      <c r="M257">
        <v>40</v>
      </c>
      <c r="N257" s="1" t="s">
        <v>668</v>
      </c>
      <c r="O257" s="1" t="s">
        <v>343</v>
      </c>
      <c r="P257">
        <v>4.7</v>
      </c>
      <c r="Q257" s="1" t="s">
        <v>670</v>
      </c>
      <c r="R257" s="1" t="s">
        <v>388</v>
      </c>
      <c r="S257" s="1">
        <f t="shared" ca="1" si="3"/>
        <v>0.60923222842562752</v>
      </c>
    </row>
    <row r="258" spans="1:19" x14ac:dyDescent="0.25">
      <c r="A258" s="1" t="s">
        <v>546</v>
      </c>
      <c r="B258" s="1" t="s">
        <v>746</v>
      </c>
      <c r="C258" s="1" t="s">
        <v>752</v>
      </c>
      <c r="D258" s="1" t="s">
        <v>671</v>
      </c>
      <c r="E258" s="1" t="s">
        <v>754</v>
      </c>
      <c r="F258" s="1" t="s">
        <v>552</v>
      </c>
      <c r="G258" s="1" t="s">
        <v>63</v>
      </c>
      <c r="H258" s="1" t="s">
        <v>394</v>
      </c>
      <c r="I258" s="1" t="s">
        <v>124</v>
      </c>
      <c r="J258" s="1" t="s">
        <v>394</v>
      </c>
      <c r="K258">
        <v>40</v>
      </c>
      <c r="L258" s="1" t="s">
        <v>668</v>
      </c>
      <c r="M258">
        <v>1</v>
      </c>
      <c r="N258" s="1" t="s">
        <v>673</v>
      </c>
      <c r="O258" s="1" t="s">
        <v>343</v>
      </c>
      <c r="P258">
        <v>2.4</v>
      </c>
      <c r="Q258" s="1" t="s">
        <v>670</v>
      </c>
      <c r="R258" s="1" t="s">
        <v>388</v>
      </c>
      <c r="S258" s="1">
        <f t="shared" ref="S258:S321" ca="1" si="4">RAND()</f>
        <v>0.49419139970290626</v>
      </c>
    </row>
    <row r="259" spans="1:19" x14ac:dyDescent="0.25">
      <c r="A259" s="1" t="s">
        <v>546</v>
      </c>
      <c r="B259" s="1" t="s">
        <v>746</v>
      </c>
      <c r="C259" s="1" t="s">
        <v>752</v>
      </c>
      <c r="D259" s="1" t="s">
        <v>674</v>
      </c>
      <c r="E259" s="1" t="s">
        <v>754</v>
      </c>
      <c r="F259" s="1" t="s">
        <v>552</v>
      </c>
      <c r="G259" s="1" t="s">
        <v>63</v>
      </c>
      <c r="H259" s="1" t="s">
        <v>394</v>
      </c>
      <c r="I259" s="1" t="s">
        <v>124</v>
      </c>
      <c r="J259" s="1" t="s">
        <v>394</v>
      </c>
      <c r="K259">
        <v>1</v>
      </c>
      <c r="L259" s="1" t="s">
        <v>673</v>
      </c>
      <c r="M259">
        <v>20</v>
      </c>
      <c r="N259" s="1" t="s">
        <v>673</v>
      </c>
      <c r="O259" s="1" t="s">
        <v>343</v>
      </c>
      <c r="P259">
        <v>2.4</v>
      </c>
      <c r="Q259" s="1" t="s">
        <v>670</v>
      </c>
      <c r="R259" s="1" t="s">
        <v>388</v>
      </c>
      <c r="S259" s="1">
        <f t="shared" ca="1" si="4"/>
        <v>0.24393568828672407</v>
      </c>
    </row>
    <row r="260" spans="1:19" x14ac:dyDescent="0.25">
      <c r="A260" s="1" t="s">
        <v>546</v>
      </c>
      <c r="B260" s="1" t="s">
        <v>746</v>
      </c>
      <c r="C260" s="1" t="s">
        <v>752</v>
      </c>
      <c r="D260" s="1" t="s">
        <v>676</v>
      </c>
      <c r="E260" s="1" t="s">
        <v>755</v>
      </c>
      <c r="F260" s="1" t="s">
        <v>552</v>
      </c>
      <c r="G260" s="1" t="s">
        <v>63</v>
      </c>
      <c r="H260" s="1" t="s">
        <v>394</v>
      </c>
      <c r="I260" s="1" t="s">
        <v>124</v>
      </c>
      <c r="J260" s="1" t="s">
        <v>394</v>
      </c>
      <c r="K260">
        <v>20</v>
      </c>
      <c r="L260" s="1" t="s">
        <v>673</v>
      </c>
      <c r="M260">
        <v>50</v>
      </c>
      <c r="N260" s="1" t="s">
        <v>673</v>
      </c>
      <c r="O260" s="1" t="s">
        <v>756</v>
      </c>
      <c r="P260">
        <v>2.5</v>
      </c>
      <c r="Q260" s="1" t="s">
        <v>670</v>
      </c>
      <c r="R260" s="1" t="s">
        <v>388</v>
      </c>
      <c r="S260" s="1">
        <f t="shared" ca="1" si="4"/>
        <v>5.9395924201679828E-2</v>
      </c>
    </row>
    <row r="261" spans="1:19" x14ac:dyDescent="0.25">
      <c r="A261" s="1" t="s">
        <v>546</v>
      </c>
      <c r="B261" s="1" t="s">
        <v>746</v>
      </c>
      <c r="C261" s="1" t="s">
        <v>752</v>
      </c>
      <c r="D261" s="1" t="s">
        <v>678</v>
      </c>
      <c r="E261" s="1" t="s">
        <v>735</v>
      </c>
      <c r="F261" s="1" t="s">
        <v>552</v>
      </c>
      <c r="G261" s="1" t="s">
        <v>63</v>
      </c>
      <c r="H261" s="1" t="s">
        <v>394</v>
      </c>
      <c r="I261" s="1" t="s">
        <v>124</v>
      </c>
      <c r="J261" s="1" t="s">
        <v>394</v>
      </c>
      <c r="K261">
        <v>50</v>
      </c>
      <c r="L261" s="1" t="s">
        <v>673</v>
      </c>
      <c r="M261">
        <v>100</v>
      </c>
      <c r="N261" s="1" t="s">
        <v>673</v>
      </c>
      <c r="O261" s="1" t="s">
        <v>736</v>
      </c>
      <c r="P261">
        <v>2.4</v>
      </c>
      <c r="Q261" s="1" t="s">
        <v>670</v>
      </c>
      <c r="R261" s="1" t="s">
        <v>388</v>
      </c>
      <c r="S261" s="1">
        <f t="shared" ca="1" si="4"/>
        <v>0.46196627874577068</v>
      </c>
    </row>
    <row r="262" spans="1:19" x14ac:dyDescent="0.25">
      <c r="A262" s="1" t="s">
        <v>546</v>
      </c>
      <c r="B262" s="1" t="s">
        <v>746</v>
      </c>
      <c r="C262" s="1" t="s">
        <v>752</v>
      </c>
      <c r="D262" s="1" t="s">
        <v>680</v>
      </c>
      <c r="E262" s="1" t="s">
        <v>757</v>
      </c>
      <c r="F262" s="1" t="s">
        <v>552</v>
      </c>
      <c r="G262" s="1" t="s">
        <v>63</v>
      </c>
      <c r="H262" s="1" t="s">
        <v>394</v>
      </c>
      <c r="I262" s="1" t="s">
        <v>124</v>
      </c>
      <c r="J262" s="1" t="s">
        <v>394</v>
      </c>
      <c r="K262">
        <v>100</v>
      </c>
      <c r="L262" s="1" t="s">
        <v>673</v>
      </c>
      <c r="M262">
        <v>300</v>
      </c>
      <c r="N262" s="1" t="s">
        <v>673</v>
      </c>
      <c r="O262" s="1" t="s">
        <v>524</v>
      </c>
      <c r="P262">
        <v>12</v>
      </c>
      <c r="Q262" s="1" t="s">
        <v>670</v>
      </c>
      <c r="R262" s="1" t="s">
        <v>388</v>
      </c>
      <c r="S262" s="1">
        <f t="shared" ca="1" si="4"/>
        <v>0.90041350102461137</v>
      </c>
    </row>
    <row r="263" spans="1:19" x14ac:dyDescent="0.25">
      <c r="A263" s="1" t="s">
        <v>546</v>
      </c>
      <c r="B263" s="1" t="s">
        <v>746</v>
      </c>
      <c r="C263" s="1" t="s">
        <v>752</v>
      </c>
      <c r="D263" s="1" t="s">
        <v>698</v>
      </c>
      <c r="E263" s="1" t="s">
        <v>758</v>
      </c>
      <c r="F263" s="1" t="s">
        <v>552</v>
      </c>
      <c r="G263" s="1" t="s">
        <v>63</v>
      </c>
      <c r="H263" s="1" t="s">
        <v>394</v>
      </c>
      <c r="I263" s="1" t="s">
        <v>124</v>
      </c>
      <c r="J263" s="1" t="s">
        <v>394</v>
      </c>
      <c r="K263">
        <v>300</v>
      </c>
      <c r="L263" s="1" t="s">
        <v>673</v>
      </c>
      <c r="M263">
        <v>1</v>
      </c>
      <c r="N263" s="1" t="s">
        <v>684</v>
      </c>
      <c r="O263" s="1" t="s">
        <v>589</v>
      </c>
      <c r="P263">
        <v>19</v>
      </c>
      <c r="Q263" s="1" t="s">
        <v>670</v>
      </c>
      <c r="R263" s="1" t="s">
        <v>388</v>
      </c>
      <c r="S263" s="1">
        <f t="shared" ca="1" si="4"/>
        <v>0.30289818153864967</v>
      </c>
    </row>
    <row r="264" spans="1:19" x14ac:dyDescent="0.25">
      <c r="A264" s="1" t="s">
        <v>546</v>
      </c>
      <c r="B264" s="1" t="s">
        <v>746</v>
      </c>
      <c r="C264" s="1" t="s">
        <v>759</v>
      </c>
      <c r="D264" s="1" t="s">
        <v>666</v>
      </c>
      <c r="E264" s="1" t="s">
        <v>732</v>
      </c>
      <c r="F264" s="1" t="s">
        <v>552</v>
      </c>
      <c r="G264" s="1" t="s">
        <v>124</v>
      </c>
      <c r="H264" s="1" t="s">
        <v>394</v>
      </c>
      <c r="I264" s="1" t="s">
        <v>258</v>
      </c>
      <c r="J264" s="1" t="s">
        <v>394</v>
      </c>
      <c r="K264">
        <v>1</v>
      </c>
      <c r="L264" s="1" t="s">
        <v>668</v>
      </c>
      <c r="M264">
        <v>40</v>
      </c>
      <c r="N264" s="1" t="s">
        <v>668</v>
      </c>
      <c r="O264" s="1" t="s">
        <v>343</v>
      </c>
      <c r="P264">
        <v>4.8</v>
      </c>
      <c r="Q264" s="1" t="s">
        <v>670</v>
      </c>
      <c r="R264" s="1" t="s">
        <v>388</v>
      </c>
      <c r="S264" s="1">
        <f t="shared" ca="1" si="4"/>
        <v>0.94133611845271037</v>
      </c>
    </row>
    <row r="265" spans="1:19" x14ac:dyDescent="0.25">
      <c r="A265" s="1" t="s">
        <v>546</v>
      </c>
      <c r="B265" s="1" t="s">
        <v>746</v>
      </c>
      <c r="C265" s="1" t="s">
        <v>759</v>
      </c>
      <c r="D265" s="1" t="s">
        <v>671</v>
      </c>
      <c r="E265" s="1" t="s">
        <v>733</v>
      </c>
      <c r="F265" s="1" t="s">
        <v>552</v>
      </c>
      <c r="G265" s="1" t="s">
        <v>124</v>
      </c>
      <c r="H265" s="1" t="s">
        <v>394</v>
      </c>
      <c r="I265" s="1" t="s">
        <v>258</v>
      </c>
      <c r="J265" s="1" t="s">
        <v>394</v>
      </c>
      <c r="K265">
        <v>40</v>
      </c>
      <c r="L265" s="1" t="s">
        <v>668</v>
      </c>
      <c r="M265">
        <v>1</v>
      </c>
      <c r="N265" s="1" t="s">
        <v>673</v>
      </c>
      <c r="O265" s="1" t="s">
        <v>343</v>
      </c>
      <c r="P265">
        <v>2.5</v>
      </c>
      <c r="Q265" s="1" t="s">
        <v>670</v>
      </c>
      <c r="R265" s="1" t="s">
        <v>388</v>
      </c>
      <c r="S265" s="1">
        <f t="shared" ca="1" si="4"/>
        <v>0.35248988397438363</v>
      </c>
    </row>
    <row r="266" spans="1:19" x14ac:dyDescent="0.25">
      <c r="A266" s="1" t="s">
        <v>546</v>
      </c>
      <c r="B266" s="1" t="s">
        <v>746</v>
      </c>
      <c r="C266" s="1" t="s">
        <v>759</v>
      </c>
      <c r="D266" s="1" t="s">
        <v>674</v>
      </c>
      <c r="E266" s="1" t="s">
        <v>760</v>
      </c>
      <c r="F266" s="1" t="s">
        <v>552</v>
      </c>
      <c r="G266" s="1" t="s">
        <v>124</v>
      </c>
      <c r="H266" s="1" t="s">
        <v>394</v>
      </c>
      <c r="I266" s="1" t="s">
        <v>258</v>
      </c>
      <c r="J266" s="1" t="s">
        <v>394</v>
      </c>
      <c r="K266">
        <v>1</v>
      </c>
      <c r="L266" s="1" t="s">
        <v>673</v>
      </c>
      <c r="M266">
        <v>20</v>
      </c>
      <c r="N266" s="1" t="s">
        <v>673</v>
      </c>
      <c r="O266" s="1" t="s">
        <v>761</v>
      </c>
      <c r="P266">
        <v>4.9000000000000004</v>
      </c>
      <c r="Q266" s="1" t="s">
        <v>670</v>
      </c>
      <c r="R266" s="1" t="s">
        <v>388</v>
      </c>
      <c r="S266" s="1">
        <f t="shared" ca="1" si="4"/>
        <v>0.2261650101476449</v>
      </c>
    </row>
    <row r="267" spans="1:19" x14ac:dyDescent="0.25">
      <c r="A267" s="1" t="s">
        <v>546</v>
      </c>
      <c r="B267" s="1" t="s">
        <v>746</v>
      </c>
      <c r="C267" s="1" t="s">
        <v>759</v>
      </c>
      <c r="D267" s="1" t="s">
        <v>676</v>
      </c>
      <c r="E267" s="1" t="s">
        <v>762</v>
      </c>
      <c r="F267" s="1" t="s">
        <v>552</v>
      </c>
      <c r="G267" s="1" t="s">
        <v>124</v>
      </c>
      <c r="H267" s="1" t="s">
        <v>394</v>
      </c>
      <c r="I267" s="1" t="s">
        <v>258</v>
      </c>
      <c r="J267" s="1" t="s">
        <v>394</v>
      </c>
      <c r="K267">
        <v>20</v>
      </c>
      <c r="L267" s="1" t="s">
        <v>673</v>
      </c>
      <c r="M267">
        <v>50</v>
      </c>
      <c r="N267" s="1" t="s">
        <v>673</v>
      </c>
      <c r="O267" s="1" t="s">
        <v>763</v>
      </c>
      <c r="P267">
        <v>6.8</v>
      </c>
      <c r="Q267" s="1" t="s">
        <v>670</v>
      </c>
      <c r="R267" s="1" t="s">
        <v>388</v>
      </c>
      <c r="S267" s="1">
        <f t="shared" ca="1" si="4"/>
        <v>0.93539946919241646</v>
      </c>
    </row>
    <row r="268" spans="1:19" x14ac:dyDescent="0.25">
      <c r="A268" s="1" t="s">
        <v>546</v>
      </c>
      <c r="B268" s="1" t="s">
        <v>746</v>
      </c>
      <c r="C268" s="1" t="s">
        <v>759</v>
      </c>
      <c r="D268" s="1" t="s">
        <v>678</v>
      </c>
      <c r="E268" s="1" t="s">
        <v>764</v>
      </c>
      <c r="F268" s="1" t="s">
        <v>552</v>
      </c>
      <c r="G268" s="1" t="s">
        <v>124</v>
      </c>
      <c r="H268" s="1" t="s">
        <v>394</v>
      </c>
      <c r="I268" s="1" t="s">
        <v>258</v>
      </c>
      <c r="J268" s="1" t="s">
        <v>394</v>
      </c>
      <c r="K268">
        <v>50</v>
      </c>
      <c r="L268" s="1" t="s">
        <v>673</v>
      </c>
      <c r="M268">
        <v>100</v>
      </c>
      <c r="N268" s="1" t="s">
        <v>673</v>
      </c>
      <c r="O268" s="1" t="s">
        <v>765</v>
      </c>
      <c r="P268">
        <v>21</v>
      </c>
      <c r="Q268" s="1" t="s">
        <v>670</v>
      </c>
      <c r="R268" s="1" t="s">
        <v>388</v>
      </c>
      <c r="S268" s="1">
        <f t="shared" ca="1" si="4"/>
        <v>0.91735810434050524</v>
      </c>
    </row>
    <row r="269" spans="1:19" x14ac:dyDescent="0.25">
      <c r="A269" s="1" t="s">
        <v>546</v>
      </c>
      <c r="B269" s="1" t="s">
        <v>746</v>
      </c>
      <c r="C269" s="1" t="s">
        <v>766</v>
      </c>
      <c r="D269" s="1" t="s">
        <v>666</v>
      </c>
      <c r="E269" s="1" t="s">
        <v>767</v>
      </c>
      <c r="F269" s="1" t="s">
        <v>552</v>
      </c>
      <c r="G269" s="1" t="s">
        <v>258</v>
      </c>
      <c r="H269" s="1" t="s">
        <v>394</v>
      </c>
      <c r="I269" s="1" t="s">
        <v>265</v>
      </c>
      <c r="J269" s="1" t="s">
        <v>394</v>
      </c>
      <c r="K269">
        <v>1</v>
      </c>
      <c r="L269" s="1" t="s">
        <v>668</v>
      </c>
      <c r="M269">
        <v>40</v>
      </c>
      <c r="N269" s="1" t="s">
        <v>668</v>
      </c>
      <c r="O269" s="1" t="s">
        <v>740</v>
      </c>
      <c r="P269">
        <v>47</v>
      </c>
      <c r="Q269" s="1" t="s">
        <v>670</v>
      </c>
      <c r="R269" s="1" t="s">
        <v>388</v>
      </c>
      <c r="S269" s="1">
        <f t="shared" ca="1" si="4"/>
        <v>0.14729059467863614</v>
      </c>
    </row>
    <row r="270" spans="1:19" x14ac:dyDescent="0.25">
      <c r="A270" s="1" t="s">
        <v>546</v>
      </c>
      <c r="B270" s="1" t="s">
        <v>746</v>
      </c>
      <c r="C270" s="1" t="s">
        <v>766</v>
      </c>
      <c r="D270" s="1" t="s">
        <v>671</v>
      </c>
      <c r="E270" s="1" t="s">
        <v>768</v>
      </c>
      <c r="F270" s="1" t="s">
        <v>552</v>
      </c>
      <c r="G270" s="1" t="s">
        <v>258</v>
      </c>
      <c r="H270" s="1" t="s">
        <v>394</v>
      </c>
      <c r="I270" s="1" t="s">
        <v>265</v>
      </c>
      <c r="J270" s="1" t="s">
        <v>394</v>
      </c>
      <c r="K270">
        <v>40</v>
      </c>
      <c r="L270" s="1" t="s">
        <v>668</v>
      </c>
      <c r="M270">
        <v>1</v>
      </c>
      <c r="N270" s="1" t="s">
        <v>673</v>
      </c>
      <c r="O270" s="1" t="s">
        <v>740</v>
      </c>
      <c r="P270">
        <v>24</v>
      </c>
      <c r="Q270" s="1" t="s">
        <v>670</v>
      </c>
      <c r="R270" s="1" t="s">
        <v>388</v>
      </c>
      <c r="S270" s="1">
        <f t="shared" ca="1" si="4"/>
        <v>2.8944769590056429E-2</v>
      </c>
    </row>
    <row r="271" spans="1:19" x14ac:dyDescent="0.25">
      <c r="A271" s="1" t="s">
        <v>546</v>
      </c>
      <c r="B271" s="1" t="s">
        <v>746</v>
      </c>
      <c r="C271" s="1" t="s">
        <v>766</v>
      </c>
      <c r="D271" s="1" t="s">
        <v>674</v>
      </c>
      <c r="E271" s="1" t="s">
        <v>742</v>
      </c>
      <c r="F271" s="1" t="s">
        <v>552</v>
      </c>
      <c r="G271" s="1" t="s">
        <v>258</v>
      </c>
      <c r="H271" s="1" t="s">
        <v>394</v>
      </c>
      <c r="I271" s="1" t="s">
        <v>265</v>
      </c>
      <c r="J271" s="1" t="s">
        <v>394</v>
      </c>
      <c r="K271">
        <v>1</v>
      </c>
      <c r="L271" s="1" t="s">
        <v>673</v>
      </c>
      <c r="M271">
        <v>20</v>
      </c>
      <c r="N271" s="1" t="s">
        <v>673</v>
      </c>
      <c r="O271" s="1" t="s">
        <v>743</v>
      </c>
      <c r="P271">
        <v>23</v>
      </c>
      <c r="Q271" s="1" t="s">
        <v>670</v>
      </c>
      <c r="R271" s="1" t="s">
        <v>388</v>
      </c>
      <c r="S271" s="1">
        <f t="shared" ca="1" si="4"/>
        <v>0.6783664472127835</v>
      </c>
    </row>
    <row r="272" spans="1:19" x14ac:dyDescent="0.25">
      <c r="A272" s="1" t="s">
        <v>546</v>
      </c>
      <c r="B272" s="1" t="s">
        <v>746</v>
      </c>
      <c r="C272" s="1" t="s">
        <v>766</v>
      </c>
      <c r="D272" s="1" t="s">
        <v>676</v>
      </c>
      <c r="E272" s="1" t="s">
        <v>744</v>
      </c>
      <c r="F272" s="1" t="s">
        <v>552</v>
      </c>
      <c r="G272" s="1" t="s">
        <v>258</v>
      </c>
      <c r="H272" s="1" t="s">
        <v>394</v>
      </c>
      <c r="I272" s="1" t="s">
        <v>265</v>
      </c>
      <c r="J272" s="1" t="s">
        <v>394</v>
      </c>
      <c r="K272">
        <v>20</v>
      </c>
      <c r="L272" s="1" t="s">
        <v>673</v>
      </c>
      <c r="M272">
        <v>50</v>
      </c>
      <c r="N272" s="1" t="s">
        <v>673</v>
      </c>
      <c r="O272" s="1" t="s">
        <v>736</v>
      </c>
      <c r="P272">
        <v>23</v>
      </c>
      <c r="Q272" s="1" t="s">
        <v>670</v>
      </c>
      <c r="R272" s="1" t="s">
        <v>388</v>
      </c>
      <c r="S272" s="1">
        <f t="shared" ca="1" si="4"/>
        <v>6.6315244205855661E-2</v>
      </c>
    </row>
    <row r="273" spans="1:19" x14ac:dyDescent="0.25">
      <c r="A273" s="1" t="s">
        <v>546</v>
      </c>
      <c r="B273" s="1" t="s">
        <v>746</v>
      </c>
      <c r="C273" s="1" t="s">
        <v>766</v>
      </c>
      <c r="D273" s="1" t="s">
        <v>678</v>
      </c>
      <c r="E273" s="1" t="s">
        <v>745</v>
      </c>
      <c r="F273" s="1" t="s">
        <v>552</v>
      </c>
      <c r="G273" s="1" t="s">
        <v>258</v>
      </c>
      <c r="H273" s="1" t="s">
        <v>394</v>
      </c>
      <c r="I273" s="1" t="s">
        <v>265</v>
      </c>
      <c r="J273" s="1" t="s">
        <v>394</v>
      </c>
      <c r="K273">
        <v>50</v>
      </c>
      <c r="L273" s="1" t="s">
        <v>673</v>
      </c>
      <c r="M273">
        <v>100</v>
      </c>
      <c r="N273" s="1" t="s">
        <v>673</v>
      </c>
      <c r="O273" s="1" t="s">
        <v>597</v>
      </c>
      <c r="P273">
        <v>23</v>
      </c>
      <c r="Q273" s="1" t="s">
        <v>670</v>
      </c>
      <c r="R273" s="1" t="s">
        <v>388</v>
      </c>
      <c r="S273" s="1">
        <f t="shared" ca="1" si="4"/>
        <v>0.90304484571094767</v>
      </c>
    </row>
    <row r="274" spans="1:19" x14ac:dyDescent="0.25">
      <c r="A274" s="1" t="s">
        <v>546</v>
      </c>
      <c r="B274" s="1" t="s">
        <v>746</v>
      </c>
      <c r="C274" s="1" t="s">
        <v>769</v>
      </c>
      <c r="D274" s="1" t="s">
        <v>666</v>
      </c>
      <c r="E274" s="1" t="s">
        <v>770</v>
      </c>
      <c r="F274" s="1" t="s">
        <v>552</v>
      </c>
      <c r="G274" s="1" t="s">
        <v>265</v>
      </c>
      <c r="H274" s="1" t="s">
        <v>394</v>
      </c>
      <c r="I274" s="1" t="s">
        <v>403</v>
      </c>
      <c r="J274" s="1" t="s">
        <v>394</v>
      </c>
      <c r="K274">
        <v>1</v>
      </c>
      <c r="L274" s="1" t="s">
        <v>668</v>
      </c>
      <c r="M274">
        <v>40</v>
      </c>
      <c r="N274" s="1" t="s">
        <v>668</v>
      </c>
      <c r="O274" s="1" t="s">
        <v>267</v>
      </c>
      <c r="P274">
        <v>49</v>
      </c>
      <c r="Q274" s="1" t="s">
        <v>771</v>
      </c>
      <c r="R274" s="1" t="s">
        <v>388</v>
      </c>
      <c r="S274" s="1">
        <f t="shared" ca="1" si="4"/>
        <v>0.33630757012906531</v>
      </c>
    </row>
    <row r="275" spans="1:19" x14ac:dyDescent="0.25">
      <c r="A275" s="1" t="s">
        <v>546</v>
      </c>
      <c r="B275" s="1" t="s">
        <v>746</v>
      </c>
      <c r="C275" s="1" t="s">
        <v>769</v>
      </c>
      <c r="D275" s="1" t="s">
        <v>671</v>
      </c>
      <c r="E275" s="1" t="s">
        <v>741</v>
      </c>
      <c r="F275" s="1" t="s">
        <v>552</v>
      </c>
      <c r="G275" s="1" t="s">
        <v>265</v>
      </c>
      <c r="H275" s="1" t="s">
        <v>394</v>
      </c>
      <c r="I275" s="1" t="s">
        <v>403</v>
      </c>
      <c r="J275" s="1" t="s">
        <v>394</v>
      </c>
      <c r="K275">
        <v>40</v>
      </c>
      <c r="L275" s="1" t="s">
        <v>668</v>
      </c>
      <c r="M275">
        <v>1</v>
      </c>
      <c r="N275" s="1" t="s">
        <v>673</v>
      </c>
      <c r="O275" s="1" t="s">
        <v>740</v>
      </c>
      <c r="P275">
        <v>26</v>
      </c>
      <c r="Q275" s="1" t="s">
        <v>670</v>
      </c>
      <c r="R275" s="1" t="s">
        <v>388</v>
      </c>
      <c r="S275" s="1">
        <f t="shared" ca="1" si="4"/>
        <v>0.45120945509089228</v>
      </c>
    </row>
    <row r="276" spans="1:19" x14ac:dyDescent="0.25">
      <c r="A276" s="1" t="s">
        <v>546</v>
      </c>
      <c r="B276" s="1" t="s">
        <v>746</v>
      </c>
      <c r="C276" s="1" t="s">
        <v>769</v>
      </c>
      <c r="D276" s="1" t="s">
        <v>772</v>
      </c>
      <c r="E276" s="1" t="s">
        <v>742</v>
      </c>
      <c r="F276" s="1" t="s">
        <v>552</v>
      </c>
      <c r="G276" s="1" t="s">
        <v>265</v>
      </c>
      <c r="H276" s="1" t="s">
        <v>394</v>
      </c>
      <c r="I276" s="1" t="s">
        <v>403</v>
      </c>
      <c r="J276" s="1" t="s">
        <v>394</v>
      </c>
      <c r="K276">
        <v>1</v>
      </c>
      <c r="L276" s="1" t="s">
        <v>673</v>
      </c>
      <c r="M276">
        <v>10</v>
      </c>
      <c r="N276" s="1" t="s">
        <v>673</v>
      </c>
      <c r="O276" s="1" t="s">
        <v>743</v>
      </c>
      <c r="P276">
        <v>23</v>
      </c>
      <c r="Q276" s="1" t="s">
        <v>670</v>
      </c>
      <c r="R276" s="1" t="s">
        <v>388</v>
      </c>
      <c r="S276" s="1">
        <f t="shared" ca="1" si="4"/>
        <v>0.16734785515800099</v>
      </c>
    </row>
    <row r="277" spans="1:19" x14ac:dyDescent="0.25">
      <c r="A277" s="1" t="s">
        <v>777</v>
      </c>
      <c r="B277" s="1" t="s">
        <v>773</v>
      </c>
      <c r="C277" s="1" t="s">
        <v>774</v>
      </c>
      <c r="D277" s="1" t="s">
        <v>775</v>
      </c>
      <c r="E277" s="1" t="s">
        <v>776</v>
      </c>
      <c r="F277" s="1" t="s">
        <v>777</v>
      </c>
      <c r="G277" s="1" t="s">
        <v>21</v>
      </c>
      <c r="H277" s="1" t="s">
        <v>21</v>
      </c>
      <c r="I277" s="1" t="s">
        <v>258</v>
      </c>
      <c r="J277" s="1" t="s">
        <v>415</v>
      </c>
      <c r="K277">
        <v>10</v>
      </c>
      <c r="L277" s="1" t="s">
        <v>668</v>
      </c>
      <c r="M277">
        <v>20</v>
      </c>
      <c r="N277" s="1" t="s">
        <v>668</v>
      </c>
      <c r="O277" s="1" t="s">
        <v>778</v>
      </c>
      <c r="P277">
        <v>7.6999999999999999E-2</v>
      </c>
      <c r="Q277" s="1" t="s">
        <v>670</v>
      </c>
      <c r="R277" s="1" t="s">
        <v>415</v>
      </c>
      <c r="S277" s="1">
        <f t="shared" ca="1" si="4"/>
        <v>1.7038744557996366E-2</v>
      </c>
    </row>
    <row r="278" spans="1:19" x14ac:dyDescent="0.25">
      <c r="A278" s="1" t="s">
        <v>777</v>
      </c>
      <c r="B278" s="1" t="s">
        <v>773</v>
      </c>
      <c r="C278" s="1" t="s">
        <v>774</v>
      </c>
      <c r="D278" s="1" t="s">
        <v>779</v>
      </c>
      <c r="E278" s="1" t="s">
        <v>780</v>
      </c>
      <c r="F278" s="1" t="s">
        <v>777</v>
      </c>
      <c r="G278" s="1" t="s">
        <v>21</v>
      </c>
      <c r="H278" s="1" t="s">
        <v>21</v>
      </c>
      <c r="I278" s="1" t="s">
        <v>258</v>
      </c>
      <c r="J278" s="1" t="s">
        <v>415</v>
      </c>
      <c r="K278">
        <v>20</v>
      </c>
      <c r="L278" s="1" t="s">
        <v>668</v>
      </c>
      <c r="M278">
        <v>45</v>
      </c>
      <c r="N278" s="1" t="s">
        <v>668</v>
      </c>
      <c r="O278" s="1" t="s">
        <v>549</v>
      </c>
      <c r="P278">
        <v>3.7999999999999999E-2</v>
      </c>
      <c r="Q278" s="1" t="s">
        <v>670</v>
      </c>
      <c r="R278" s="1" t="s">
        <v>415</v>
      </c>
      <c r="S278" s="1">
        <f t="shared" ca="1" si="4"/>
        <v>0.79026108624370117</v>
      </c>
    </row>
    <row r="279" spans="1:19" x14ac:dyDescent="0.25">
      <c r="A279" s="1" t="s">
        <v>777</v>
      </c>
      <c r="B279" s="1" t="s">
        <v>773</v>
      </c>
      <c r="C279" s="1" t="s">
        <v>774</v>
      </c>
      <c r="D279" s="1" t="s">
        <v>781</v>
      </c>
      <c r="E279" s="1" t="s">
        <v>782</v>
      </c>
      <c r="F279" s="1" t="s">
        <v>777</v>
      </c>
      <c r="G279" s="1" t="s">
        <v>21</v>
      </c>
      <c r="H279" s="1" t="s">
        <v>21</v>
      </c>
      <c r="I279" s="1" t="s">
        <v>258</v>
      </c>
      <c r="J279" s="1" t="s">
        <v>415</v>
      </c>
      <c r="K279">
        <v>45</v>
      </c>
      <c r="L279" s="1" t="s">
        <v>668</v>
      </c>
      <c r="M279">
        <v>5</v>
      </c>
      <c r="N279" s="1" t="s">
        <v>673</v>
      </c>
      <c r="O279" s="1" t="s">
        <v>783</v>
      </c>
      <c r="P279">
        <v>3.5999999999999997E-2</v>
      </c>
      <c r="Q279" s="1" t="s">
        <v>670</v>
      </c>
      <c r="R279" s="1" t="s">
        <v>415</v>
      </c>
      <c r="S279" s="1">
        <f t="shared" ca="1" si="4"/>
        <v>0.5397570345648981</v>
      </c>
    </row>
    <row r="280" spans="1:19" x14ac:dyDescent="0.25">
      <c r="A280" s="1" t="s">
        <v>777</v>
      </c>
      <c r="B280" s="1" t="s">
        <v>773</v>
      </c>
      <c r="C280" s="1" t="s">
        <v>784</v>
      </c>
      <c r="D280" s="1" t="s">
        <v>775</v>
      </c>
      <c r="E280" s="1" t="s">
        <v>785</v>
      </c>
      <c r="F280" s="1" t="s">
        <v>777</v>
      </c>
      <c r="G280" s="1" t="s">
        <v>258</v>
      </c>
      <c r="H280" s="1" t="s">
        <v>415</v>
      </c>
      <c r="I280" s="1" t="s">
        <v>171</v>
      </c>
      <c r="J280" s="1" t="s">
        <v>423</v>
      </c>
      <c r="K280">
        <v>10</v>
      </c>
      <c r="L280" s="1" t="s">
        <v>668</v>
      </c>
      <c r="M280">
        <v>20</v>
      </c>
      <c r="N280" s="1" t="s">
        <v>668</v>
      </c>
      <c r="O280" s="1" t="s">
        <v>524</v>
      </c>
      <c r="P280">
        <v>0.25</v>
      </c>
      <c r="Q280" s="1" t="s">
        <v>670</v>
      </c>
      <c r="R280" s="1" t="s">
        <v>415</v>
      </c>
      <c r="S280" s="1">
        <f t="shared" ca="1" si="4"/>
        <v>0.78149772826020492</v>
      </c>
    </row>
    <row r="281" spans="1:19" x14ac:dyDescent="0.25">
      <c r="A281" s="1" t="s">
        <v>777</v>
      </c>
      <c r="B281" s="1" t="s">
        <v>773</v>
      </c>
      <c r="C281" s="1" t="s">
        <v>784</v>
      </c>
      <c r="D281" s="1" t="s">
        <v>779</v>
      </c>
      <c r="E281" s="1" t="s">
        <v>786</v>
      </c>
      <c r="F281" s="1" t="s">
        <v>777</v>
      </c>
      <c r="G281" s="1" t="s">
        <v>258</v>
      </c>
      <c r="H281" s="1" t="s">
        <v>415</v>
      </c>
      <c r="I281" s="1" t="s">
        <v>171</v>
      </c>
      <c r="J281" s="1" t="s">
        <v>423</v>
      </c>
      <c r="K281">
        <v>20</v>
      </c>
      <c r="L281" s="1" t="s">
        <v>668</v>
      </c>
      <c r="M281">
        <v>45</v>
      </c>
      <c r="N281" s="1" t="s">
        <v>668</v>
      </c>
      <c r="O281" s="1" t="s">
        <v>549</v>
      </c>
      <c r="P281">
        <v>0.27</v>
      </c>
      <c r="Q281" s="1" t="s">
        <v>670</v>
      </c>
      <c r="R281" s="1" t="s">
        <v>415</v>
      </c>
      <c r="S281" s="1">
        <f t="shared" ca="1" si="4"/>
        <v>1.3355028019764292E-2</v>
      </c>
    </row>
    <row r="282" spans="1:19" x14ac:dyDescent="0.25">
      <c r="A282" s="1" t="s">
        <v>777</v>
      </c>
      <c r="B282" s="1" t="s">
        <v>773</v>
      </c>
      <c r="C282" s="1" t="s">
        <v>784</v>
      </c>
      <c r="D282" s="1" t="s">
        <v>787</v>
      </c>
      <c r="E282" s="1" t="s">
        <v>788</v>
      </c>
      <c r="F282" s="1" t="s">
        <v>777</v>
      </c>
      <c r="G282" s="1" t="s">
        <v>258</v>
      </c>
      <c r="H282" s="1" t="s">
        <v>415</v>
      </c>
      <c r="I282" s="1" t="s">
        <v>171</v>
      </c>
      <c r="J282" s="1" t="s">
        <v>423</v>
      </c>
      <c r="K282">
        <v>45</v>
      </c>
      <c r="L282" s="1" t="s">
        <v>668</v>
      </c>
      <c r="M282">
        <v>100</v>
      </c>
      <c r="N282" s="1" t="s">
        <v>668</v>
      </c>
      <c r="O282" s="1" t="s">
        <v>783</v>
      </c>
      <c r="P282">
        <v>0.24</v>
      </c>
      <c r="Q282" s="1" t="s">
        <v>670</v>
      </c>
      <c r="R282" s="1" t="s">
        <v>415</v>
      </c>
      <c r="S282" s="1">
        <f t="shared" ca="1" si="4"/>
        <v>0.5989982000311258</v>
      </c>
    </row>
    <row r="283" spans="1:19" x14ac:dyDescent="0.25">
      <c r="A283" s="1" t="s">
        <v>777</v>
      </c>
      <c r="B283" s="1" t="s">
        <v>773</v>
      </c>
      <c r="C283" s="1" t="s">
        <v>784</v>
      </c>
      <c r="D283" s="1" t="s">
        <v>789</v>
      </c>
      <c r="E283" s="1" t="s">
        <v>790</v>
      </c>
      <c r="F283" s="1" t="s">
        <v>777</v>
      </c>
      <c r="G283" s="1" t="s">
        <v>258</v>
      </c>
      <c r="H283" s="1" t="s">
        <v>415</v>
      </c>
      <c r="I283" s="1" t="s">
        <v>171</v>
      </c>
      <c r="J283" s="1" t="s">
        <v>423</v>
      </c>
      <c r="K283">
        <v>100</v>
      </c>
      <c r="L283" s="1" t="s">
        <v>668</v>
      </c>
      <c r="M283">
        <v>5</v>
      </c>
      <c r="N283" s="1" t="s">
        <v>673</v>
      </c>
      <c r="O283" s="1" t="s">
        <v>657</v>
      </c>
      <c r="P283">
        <v>0.24</v>
      </c>
      <c r="Q283" s="1" t="s">
        <v>670</v>
      </c>
      <c r="R283" s="1" t="s">
        <v>415</v>
      </c>
      <c r="S283" s="1">
        <f t="shared" ca="1" si="4"/>
        <v>0.68301662872484292</v>
      </c>
    </row>
    <row r="284" spans="1:19" x14ac:dyDescent="0.25">
      <c r="A284" s="1" t="s">
        <v>777</v>
      </c>
      <c r="B284" s="1" t="s">
        <v>773</v>
      </c>
      <c r="C284" s="1" t="s">
        <v>784</v>
      </c>
      <c r="D284" s="1" t="s">
        <v>791</v>
      </c>
      <c r="E284" s="1" t="s">
        <v>792</v>
      </c>
      <c r="F284" s="1" t="s">
        <v>777</v>
      </c>
      <c r="G284" s="1" t="s">
        <v>258</v>
      </c>
      <c r="H284" s="1" t="s">
        <v>415</v>
      </c>
      <c r="I284" s="1" t="s">
        <v>171</v>
      </c>
      <c r="J284" s="1" t="s">
        <v>423</v>
      </c>
      <c r="K284">
        <v>5</v>
      </c>
      <c r="L284" s="1" t="s">
        <v>673</v>
      </c>
      <c r="M284">
        <v>20</v>
      </c>
      <c r="N284" s="1" t="s">
        <v>673</v>
      </c>
      <c r="O284" s="1" t="s">
        <v>743</v>
      </c>
      <c r="P284">
        <v>0.24</v>
      </c>
      <c r="Q284" s="1" t="s">
        <v>670</v>
      </c>
      <c r="R284" s="1" t="s">
        <v>415</v>
      </c>
      <c r="S284" s="1">
        <f t="shared" ca="1" si="4"/>
        <v>7.0579181780476841E-2</v>
      </c>
    </row>
    <row r="285" spans="1:19" x14ac:dyDescent="0.25">
      <c r="A285" s="1" t="s">
        <v>777</v>
      </c>
      <c r="B285" s="1" t="s">
        <v>773</v>
      </c>
      <c r="C285" s="1" t="s">
        <v>784</v>
      </c>
      <c r="D285" s="1" t="s">
        <v>676</v>
      </c>
      <c r="E285" s="1" t="s">
        <v>793</v>
      </c>
      <c r="F285" s="1" t="s">
        <v>777</v>
      </c>
      <c r="G285" s="1" t="s">
        <v>258</v>
      </c>
      <c r="H285" s="1" t="s">
        <v>415</v>
      </c>
      <c r="I285" s="1" t="s">
        <v>171</v>
      </c>
      <c r="J285" s="1" t="s">
        <v>423</v>
      </c>
      <c r="K285">
        <v>20</v>
      </c>
      <c r="L285" s="1" t="s">
        <v>673</v>
      </c>
      <c r="M285">
        <v>50</v>
      </c>
      <c r="N285" s="1" t="s">
        <v>673</v>
      </c>
      <c r="O285" s="1" t="s">
        <v>794</v>
      </c>
      <c r="P285">
        <v>0.47</v>
      </c>
      <c r="Q285" s="1" t="s">
        <v>670</v>
      </c>
      <c r="R285" s="1" t="s">
        <v>415</v>
      </c>
      <c r="S285" s="1">
        <f t="shared" ca="1" si="4"/>
        <v>0.64807788428287705</v>
      </c>
    </row>
    <row r="286" spans="1:19" x14ac:dyDescent="0.25">
      <c r="A286" s="1" t="s">
        <v>777</v>
      </c>
      <c r="B286" s="1" t="s">
        <v>773</v>
      </c>
      <c r="C286" s="1" t="s">
        <v>784</v>
      </c>
      <c r="D286" s="1" t="s">
        <v>678</v>
      </c>
      <c r="E286" s="1" t="s">
        <v>795</v>
      </c>
      <c r="F286" s="1" t="s">
        <v>777</v>
      </c>
      <c r="G286" s="1" t="s">
        <v>258</v>
      </c>
      <c r="H286" s="1" t="s">
        <v>415</v>
      </c>
      <c r="I286" s="1" t="s">
        <v>171</v>
      </c>
      <c r="J286" s="1" t="s">
        <v>423</v>
      </c>
      <c r="K286">
        <v>50</v>
      </c>
      <c r="L286" s="1" t="s">
        <v>673</v>
      </c>
      <c r="M286">
        <v>100</v>
      </c>
      <c r="N286" s="1" t="s">
        <v>673</v>
      </c>
      <c r="O286" s="1" t="s">
        <v>796</v>
      </c>
      <c r="P286">
        <v>1.8</v>
      </c>
      <c r="Q286" s="1" t="s">
        <v>670</v>
      </c>
      <c r="R286" s="1" t="s">
        <v>415</v>
      </c>
      <c r="S286" s="1">
        <f t="shared" ca="1" si="4"/>
        <v>5.0573441604983227E-2</v>
      </c>
    </row>
    <row r="287" spans="1:19" x14ac:dyDescent="0.25">
      <c r="A287" s="1" t="s">
        <v>777</v>
      </c>
      <c r="B287" s="1" t="s">
        <v>773</v>
      </c>
      <c r="C287" s="1" t="s">
        <v>424</v>
      </c>
      <c r="D287" s="1" t="s">
        <v>797</v>
      </c>
      <c r="E287" s="1" t="s">
        <v>798</v>
      </c>
      <c r="F287" s="1" t="s">
        <v>777</v>
      </c>
      <c r="G287" s="1" t="s">
        <v>171</v>
      </c>
      <c r="H287" s="1" t="s">
        <v>423</v>
      </c>
      <c r="I287" s="1" t="s">
        <v>63</v>
      </c>
      <c r="J287" s="1" t="s">
        <v>423</v>
      </c>
      <c r="K287">
        <v>10</v>
      </c>
      <c r="L287" s="1" t="s">
        <v>668</v>
      </c>
      <c r="M287">
        <v>20</v>
      </c>
      <c r="N287" s="1" t="s">
        <v>668</v>
      </c>
      <c r="O287" s="1" t="s">
        <v>524</v>
      </c>
      <c r="P287">
        <v>2.5</v>
      </c>
      <c r="Q287" s="1" t="s">
        <v>670</v>
      </c>
      <c r="R287" s="1" t="s">
        <v>415</v>
      </c>
      <c r="S287" s="1">
        <f t="shared" ca="1" si="4"/>
        <v>0.99185121585000524</v>
      </c>
    </row>
    <row r="288" spans="1:19" x14ac:dyDescent="0.25">
      <c r="A288" s="1" t="s">
        <v>777</v>
      </c>
      <c r="B288" s="1" t="s">
        <v>773</v>
      </c>
      <c r="C288" s="1" t="s">
        <v>424</v>
      </c>
      <c r="D288" s="1" t="s">
        <v>799</v>
      </c>
      <c r="E288" s="1" t="s">
        <v>800</v>
      </c>
      <c r="F288" s="1" t="s">
        <v>777</v>
      </c>
      <c r="G288" s="1" t="s">
        <v>171</v>
      </c>
      <c r="H288" s="1" t="s">
        <v>423</v>
      </c>
      <c r="I288" s="1" t="s">
        <v>63</v>
      </c>
      <c r="J288" s="1" t="s">
        <v>423</v>
      </c>
      <c r="K288">
        <v>20</v>
      </c>
      <c r="L288" s="1" t="s">
        <v>668</v>
      </c>
      <c r="M288">
        <v>45</v>
      </c>
      <c r="N288" s="1" t="s">
        <v>668</v>
      </c>
      <c r="O288" s="1" t="s">
        <v>549</v>
      </c>
      <c r="P288">
        <v>2.7</v>
      </c>
      <c r="Q288" s="1" t="s">
        <v>670</v>
      </c>
      <c r="R288" s="1" t="s">
        <v>415</v>
      </c>
      <c r="S288" s="1">
        <f t="shared" ca="1" si="4"/>
        <v>0.19233911972999962</v>
      </c>
    </row>
    <row r="289" spans="1:19" x14ac:dyDescent="0.25">
      <c r="A289" s="1" t="s">
        <v>777</v>
      </c>
      <c r="B289" s="1" t="s">
        <v>773</v>
      </c>
      <c r="C289" s="1" t="s">
        <v>424</v>
      </c>
      <c r="D289" s="1" t="s">
        <v>801</v>
      </c>
      <c r="E289" s="1" t="s">
        <v>802</v>
      </c>
      <c r="F289" s="1" t="s">
        <v>777</v>
      </c>
      <c r="G289" s="1" t="s">
        <v>171</v>
      </c>
      <c r="H289" s="1" t="s">
        <v>423</v>
      </c>
      <c r="I289" s="1" t="s">
        <v>63</v>
      </c>
      <c r="J289" s="1" t="s">
        <v>423</v>
      </c>
      <c r="K289">
        <v>45</v>
      </c>
      <c r="L289" s="1" t="s">
        <v>668</v>
      </c>
      <c r="M289">
        <v>100</v>
      </c>
      <c r="N289" s="1" t="s">
        <v>668</v>
      </c>
      <c r="O289" s="1" t="s">
        <v>783</v>
      </c>
      <c r="P289">
        <v>2.4</v>
      </c>
      <c r="Q289" s="1" t="s">
        <v>670</v>
      </c>
      <c r="R289" s="1" t="s">
        <v>415</v>
      </c>
      <c r="S289" s="1">
        <f t="shared" ca="1" si="4"/>
        <v>1.7373535160301823E-2</v>
      </c>
    </row>
    <row r="290" spans="1:19" x14ac:dyDescent="0.25">
      <c r="A290" s="1" t="s">
        <v>777</v>
      </c>
      <c r="B290" s="1" t="s">
        <v>773</v>
      </c>
      <c r="C290" s="1" t="s">
        <v>424</v>
      </c>
      <c r="D290" s="1" t="s">
        <v>789</v>
      </c>
      <c r="E290" s="1" t="s">
        <v>803</v>
      </c>
      <c r="F290" s="1" t="s">
        <v>777</v>
      </c>
      <c r="G290" s="1" t="s">
        <v>171</v>
      </c>
      <c r="H290" s="1" t="s">
        <v>423</v>
      </c>
      <c r="I290" s="1" t="s">
        <v>63</v>
      </c>
      <c r="J290" s="1" t="s">
        <v>423</v>
      </c>
      <c r="K290">
        <v>100</v>
      </c>
      <c r="L290" s="1" t="s">
        <v>668</v>
      </c>
      <c r="M290">
        <v>5</v>
      </c>
      <c r="N290" s="1" t="s">
        <v>673</v>
      </c>
      <c r="O290" s="1" t="s">
        <v>657</v>
      </c>
      <c r="P290">
        <v>2.4</v>
      </c>
      <c r="Q290" s="1" t="s">
        <v>670</v>
      </c>
      <c r="R290" s="1" t="s">
        <v>415</v>
      </c>
      <c r="S290" s="1">
        <f t="shared" ca="1" si="4"/>
        <v>0.58819531293494287</v>
      </c>
    </row>
    <row r="291" spans="1:19" x14ac:dyDescent="0.25">
      <c r="A291" s="1" t="s">
        <v>777</v>
      </c>
      <c r="B291" s="1" t="s">
        <v>773</v>
      </c>
      <c r="C291" s="1" t="s">
        <v>424</v>
      </c>
      <c r="D291" s="1" t="s">
        <v>804</v>
      </c>
      <c r="E291" s="1" t="s">
        <v>805</v>
      </c>
      <c r="F291" s="1" t="s">
        <v>777</v>
      </c>
      <c r="G291" s="1" t="s">
        <v>171</v>
      </c>
      <c r="H291" s="1" t="s">
        <v>423</v>
      </c>
      <c r="I291" s="1" t="s">
        <v>63</v>
      </c>
      <c r="J291" s="1" t="s">
        <v>423</v>
      </c>
      <c r="K291">
        <v>5</v>
      </c>
      <c r="L291" s="1" t="s">
        <v>673</v>
      </c>
      <c r="M291">
        <v>20</v>
      </c>
      <c r="N291" s="1" t="s">
        <v>673</v>
      </c>
      <c r="O291" s="1" t="s">
        <v>743</v>
      </c>
      <c r="P291">
        <v>2.4</v>
      </c>
      <c r="Q291" s="1" t="s">
        <v>670</v>
      </c>
      <c r="R291" s="1" t="s">
        <v>415</v>
      </c>
      <c r="S291" s="1">
        <f t="shared" ca="1" si="4"/>
        <v>0.42284481859239931</v>
      </c>
    </row>
    <row r="292" spans="1:19" x14ac:dyDescent="0.25">
      <c r="A292" s="1" t="s">
        <v>777</v>
      </c>
      <c r="B292" s="1" t="s">
        <v>773</v>
      </c>
      <c r="C292" s="1" t="s">
        <v>424</v>
      </c>
      <c r="D292" s="1" t="s">
        <v>676</v>
      </c>
      <c r="E292" s="1" t="s">
        <v>806</v>
      </c>
      <c r="F292" s="1" t="s">
        <v>777</v>
      </c>
      <c r="G292" s="1" t="s">
        <v>171</v>
      </c>
      <c r="H292" s="1" t="s">
        <v>423</v>
      </c>
      <c r="I292" s="1" t="s">
        <v>63</v>
      </c>
      <c r="J292" s="1" t="s">
        <v>423</v>
      </c>
      <c r="K292">
        <v>20</v>
      </c>
      <c r="L292" s="1" t="s">
        <v>673</v>
      </c>
      <c r="M292">
        <v>50</v>
      </c>
      <c r="N292" s="1" t="s">
        <v>673</v>
      </c>
      <c r="O292" s="1" t="s">
        <v>794</v>
      </c>
      <c r="P292">
        <v>4.7</v>
      </c>
      <c r="Q292" s="1" t="s">
        <v>670</v>
      </c>
      <c r="R292" s="1" t="s">
        <v>415</v>
      </c>
      <c r="S292" s="1">
        <f t="shared" ca="1" si="4"/>
        <v>0.30335563169337709</v>
      </c>
    </row>
    <row r="293" spans="1:19" x14ac:dyDescent="0.25">
      <c r="A293" s="1" t="s">
        <v>777</v>
      </c>
      <c r="B293" s="1" t="s">
        <v>773</v>
      </c>
      <c r="C293" s="1" t="s">
        <v>424</v>
      </c>
      <c r="D293" s="1" t="s">
        <v>678</v>
      </c>
      <c r="E293" s="1" t="s">
        <v>807</v>
      </c>
      <c r="F293" s="1" t="s">
        <v>777</v>
      </c>
      <c r="G293" s="1" t="s">
        <v>171</v>
      </c>
      <c r="H293" s="1" t="s">
        <v>423</v>
      </c>
      <c r="I293" s="1" t="s">
        <v>63</v>
      </c>
      <c r="J293" s="1" t="s">
        <v>423</v>
      </c>
      <c r="K293">
        <v>50</v>
      </c>
      <c r="L293" s="1" t="s">
        <v>673</v>
      </c>
      <c r="M293">
        <v>100</v>
      </c>
      <c r="N293" s="1" t="s">
        <v>673</v>
      </c>
      <c r="O293" s="1" t="s">
        <v>796</v>
      </c>
      <c r="P293">
        <v>18</v>
      </c>
      <c r="Q293" s="1" t="s">
        <v>670</v>
      </c>
      <c r="R293" s="1" t="s">
        <v>415</v>
      </c>
      <c r="S293" s="1">
        <f t="shared" ca="1" si="4"/>
        <v>0.23927258670965201</v>
      </c>
    </row>
    <row r="294" spans="1:19" x14ac:dyDescent="0.25">
      <c r="A294" s="1" t="s">
        <v>777</v>
      </c>
      <c r="B294" s="1" t="s">
        <v>773</v>
      </c>
      <c r="C294" s="1" t="s">
        <v>426</v>
      </c>
      <c r="D294" s="1" t="s">
        <v>775</v>
      </c>
      <c r="E294" s="1" t="s">
        <v>808</v>
      </c>
      <c r="F294" s="1" t="s">
        <v>777</v>
      </c>
      <c r="G294" s="1" t="s">
        <v>63</v>
      </c>
      <c r="H294" s="1" t="s">
        <v>423</v>
      </c>
      <c r="I294" s="1" t="s">
        <v>258</v>
      </c>
      <c r="J294" s="1" t="s">
        <v>423</v>
      </c>
      <c r="K294">
        <v>10</v>
      </c>
      <c r="L294" s="1" t="s">
        <v>668</v>
      </c>
      <c r="M294">
        <v>20</v>
      </c>
      <c r="N294" s="1" t="s">
        <v>668</v>
      </c>
      <c r="O294" s="1" t="s">
        <v>524</v>
      </c>
      <c r="P294">
        <v>25</v>
      </c>
      <c r="Q294" s="1" t="s">
        <v>670</v>
      </c>
      <c r="R294" s="1" t="s">
        <v>415</v>
      </c>
      <c r="S294" s="1">
        <f t="shared" ca="1" si="4"/>
        <v>0.38692575845742405</v>
      </c>
    </row>
    <row r="295" spans="1:19" x14ac:dyDescent="0.25">
      <c r="A295" s="1" t="s">
        <v>777</v>
      </c>
      <c r="B295" s="1" t="s">
        <v>773</v>
      </c>
      <c r="C295" s="1" t="s">
        <v>426</v>
      </c>
      <c r="D295" s="1" t="s">
        <v>779</v>
      </c>
      <c r="E295" s="1" t="s">
        <v>809</v>
      </c>
      <c r="F295" s="1" t="s">
        <v>777</v>
      </c>
      <c r="G295" s="1" t="s">
        <v>63</v>
      </c>
      <c r="H295" s="1" t="s">
        <v>423</v>
      </c>
      <c r="I295" s="1" t="s">
        <v>258</v>
      </c>
      <c r="J295" s="1" t="s">
        <v>423</v>
      </c>
      <c r="K295">
        <v>20</v>
      </c>
      <c r="L295" s="1" t="s">
        <v>668</v>
      </c>
      <c r="M295">
        <v>45</v>
      </c>
      <c r="N295" s="1" t="s">
        <v>668</v>
      </c>
      <c r="O295" s="1" t="s">
        <v>549</v>
      </c>
      <c r="P295">
        <v>27</v>
      </c>
      <c r="Q295" s="1" t="s">
        <v>670</v>
      </c>
      <c r="R295" s="1" t="s">
        <v>415</v>
      </c>
      <c r="S295" s="1">
        <f t="shared" ca="1" si="4"/>
        <v>0.28745761087110233</v>
      </c>
    </row>
    <row r="296" spans="1:19" x14ac:dyDescent="0.25">
      <c r="A296" s="1" t="s">
        <v>777</v>
      </c>
      <c r="B296" s="1" t="s">
        <v>773</v>
      </c>
      <c r="C296" s="1" t="s">
        <v>426</v>
      </c>
      <c r="D296" s="1" t="s">
        <v>787</v>
      </c>
      <c r="E296" s="1" t="s">
        <v>810</v>
      </c>
      <c r="F296" s="1" t="s">
        <v>777</v>
      </c>
      <c r="G296" s="1" t="s">
        <v>63</v>
      </c>
      <c r="H296" s="1" t="s">
        <v>423</v>
      </c>
      <c r="I296" s="1" t="s">
        <v>258</v>
      </c>
      <c r="J296" s="1" t="s">
        <v>423</v>
      </c>
      <c r="K296">
        <v>45</v>
      </c>
      <c r="L296" s="1" t="s">
        <v>668</v>
      </c>
      <c r="M296">
        <v>100</v>
      </c>
      <c r="N296" s="1" t="s">
        <v>668</v>
      </c>
      <c r="O296" s="1" t="s">
        <v>783</v>
      </c>
      <c r="P296">
        <v>24</v>
      </c>
      <c r="Q296" s="1" t="s">
        <v>670</v>
      </c>
      <c r="R296" s="1" t="s">
        <v>415</v>
      </c>
      <c r="S296" s="1">
        <f t="shared" ca="1" si="4"/>
        <v>0.86325932316144027</v>
      </c>
    </row>
    <row r="297" spans="1:19" x14ac:dyDescent="0.25">
      <c r="A297" s="1" t="s">
        <v>777</v>
      </c>
      <c r="B297" s="1" t="s">
        <v>773</v>
      </c>
      <c r="C297" s="1" t="s">
        <v>426</v>
      </c>
      <c r="D297" s="1" t="s">
        <v>789</v>
      </c>
      <c r="E297" s="1" t="s">
        <v>811</v>
      </c>
      <c r="F297" s="1" t="s">
        <v>777</v>
      </c>
      <c r="G297" s="1" t="s">
        <v>63</v>
      </c>
      <c r="H297" s="1" t="s">
        <v>423</v>
      </c>
      <c r="I297" s="1" t="s">
        <v>258</v>
      </c>
      <c r="J297" s="1" t="s">
        <v>423</v>
      </c>
      <c r="K297">
        <v>100</v>
      </c>
      <c r="L297" s="1" t="s">
        <v>668</v>
      </c>
      <c r="M297">
        <v>5</v>
      </c>
      <c r="N297" s="1" t="s">
        <v>673</v>
      </c>
      <c r="O297" s="1" t="s">
        <v>657</v>
      </c>
      <c r="P297">
        <v>24</v>
      </c>
      <c r="Q297" s="1" t="s">
        <v>670</v>
      </c>
      <c r="R297" s="1" t="s">
        <v>415</v>
      </c>
      <c r="S297" s="1">
        <f t="shared" ca="1" si="4"/>
        <v>0.79724875845126297</v>
      </c>
    </row>
    <row r="298" spans="1:19" x14ac:dyDescent="0.25">
      <c r="A298" s="1" t="s">
        <v>777</v>
      </c>
      <c r="B298" s="1" t="s">
        <v>773</v>
      </c>
      <c r="C298" s="1" t="s">
        <v>426</v>
      </c>
      <c r="D298" s="1" t="s">
        <v>791</v>
      </c>
      <c r="E298" s="1" t="s">
        <v>812</v>
      </c>
      <c r="F298" s="1" t="s">
        <v>777</v>
      </c>
      <c r="G298" s="1" t="s">
        <v>63</v>
      </c>
      <c r="H298" s="1" t="s">
        <v>423</v>
      </c>
      <c r="I298" s="1" t="s">
        <v>258</v>
      </c>
      <c r="J298" s="1" t="s">
        <v>423</v>
      </c>
      <c r="K298">
        <v>5</v>
      </c>
      <c r="L298" s="1" t="s">
        <v>673</v>
      </c>
      <c r="M298">
        <v>20</v>
      </c>
      <c r="N298" s="1" t="s">
        <v>673</v>
      </c>
      <c r="O298" s="1" t="s">
        <v>743</v>
      </c>
      <c r="P298">
        <v>24</v>
      </c>
      <c r="Q298" s="1" t="s">
        <v>670</v>
      </c>
      <c r="R298" s="1" t="s">
        <v>415</v>
      </c>
      <c r="S298" s="1">
        <f t="shared" ca="1" si="4"/>
        <v>0.86354112673387495</v>
      </c>
    </row>
    <row r="299" spans="1:19" x14ac:dyDescent="0.25">
      <c r="A299" s="1" t="s">
        <v>777</v>
      </c>
      <c r="B299" s="1" t="s">
        <v>773</v>
      </c>
      <c r="C299" s="1" t="s">
        <v>426</v>
      </c>
      <c r="D299" s="1" t="s">
        <v>676</v>
      </c>
      <c r="E299" s="1" t="s">
        <v>813</v>
      </c>
      <c r="F299" s="1" t="s">
        <v>777</v>
      </c>
      <c r="G299" s="1" t="s">
        <v>63</v>
      </c>
      <c r="H299" s="1" t="s">
        <v>423</v>
      </c>
      <c r="I299" s="1" t="s">
        <v>258</v>
      </c>
      <c r="J299" s="1" t="s">
        <v>423</v>
      </c>
      <c r="K299">
        <v>20</v>
      </c>
      <c r="L299" s="1" t="s">
        <v>673</v>
      </c>
      <c r="M299">
        <v>50</v>
      </c>
      <c r="N299" s="1" t="s">
        <v>673</v>
      </c>
      <c r="O299" s="1" t="s">
        <v>794</v>
      </c>
      <c r="P299">
        <v>47</v>
      </c>
      <c r="Q299" s="1" t="s">
        <v>670</v>
      </c>
      <c r="R299" s="1" t="s">
        <v>415</v>
      </c>
      <c r="S299" s="1">
        <f t="shared" ca="1" si="4"/>
        <v>0.54641989046433537</v>
      </c>
    </row>
    <row r="300" spans="1:19" x14ac:dyDescent="0.25">
      <c r="A300" s="1" t="s">
        <v>777</v>
      </c>
      <c r="B300" s="1" t="s">
        <v>773</v>
      </c>
      <c r="C300" s="1" t="s">
        <v>426</v>
      </c>
      <c r="D300" s="1" t="s">
        <v>678</v>
      </c>
      <c r="E300" s="1" t="s">
        <v>814</v>
      </c>
      <c r="F300" s="1" t="s">
        <v>777</v>
      </c>
      <c r="G300" s="1" t="s">
        <v>63</v>
      </c>
      <c r="H300" s="1" t="s">
        <v>423</v>
      </c>
      <c r="I300" s="1" t="s">
        <v>258</v>
      </c>
      <c r="J300" s="1" t="s">
        <v>423</v>
      </c>
      <c r="K300">
        <v>50</v>
      </c>
      <c r="L300" s="1" t="s">
        <v>673</v>
      </c>
      <c r="M300">
        <v>100</v>
      </c>
      <c r="N300" s="1" t="s">
        <v>673</v>
      </c>
      <c r="O300" s="1" t="s">
        <v>796</v>
      </c>
      <c r="P300">
        <v>0.18</v>
      </c>
      <c r="Q300" s="1" t="s">
        <v>670</v>
      </c>
      <c r="R300" s="1" t="s">
        <v>423</v>
      </c>
      <c r="S300" s="1">
        <f t="shared" ca="1" si="4"/>
        <v>0.10538285385943025</v>
      </c>
    </row>
    <row r="301" spans="1:19" x14ac:dyDescent="0.25">
      <c r="A301" s="1" t="s">
        <v>777</v>
      </c>
      <c r="B301" s="1" t="s">
        <v>773</v>
      </c>
      <c r="C301" s="1" t="s">
        <v>429</v>
      </c>
      <c r="D301" s="1" t="s">
        <v>775</v>
      </c>
      <c r="E301" s="1" t="s">
        <v>815</v>
      </c>
      <c r="F301" s="1" t="s">
        <v>777</v>
      </c>
      <c r="G301" s="1" t="s">
        <v>258</v>
      </c>
      <c r="H301" s="1" t="s">
        <v>423</v>
      </c>
      <c r="I301" s="1" t="s">
        <v>171</v>
      </c>
      <c r="J301" s="1" t="s">
        <v>431</v>
      </c>
      <c r="K301">
        <v>10</v>
      </c>
      <c r="L301" s="1" t="s">
        <v>668</v>
      </c>
      <c r="M301">
        <v>20</v>
      </c>
      <c r="N301" s="1" t="s">
        <v>668</v>
      </c>
      <c r="O301" s="1" t="s">
        <v>524</v>
      </c>
      <c r="P301">
        <v>0.25</v>
      </c>
      <c r="Q301" s="1" t="s">
        <v>670</v>
      </c>
      <c r="R301" s="1" t="s">
        <v>423</v>
      </c>
      <c r="S301" s="1">
        <f t="shared" ca="1" si="4"/>
        <v>0.99623228538905695</v>
      </c>
    </row>
    <row r="302" spans="1:19" x14ac:dyDescent="0.25">
      <c r="A302" s="1" t="s">
        <v>777</v>
      </c>
      <c r="B302" s="1" t="s">
        <v>773</v>
      </c>
      <c r="C302" s="1" t="s">
        <v>429</v>
      </c>
      <c r="D302" s="1" t="s">
        <v>779</v>
      </c>
      <c r="E302" s="1" t="s">
        <v>816</v>
      </c>
      <c r="F302" s="1" t="s">
        <v>777</v>
      </c>
      <c r="G302" s="1" t="s">
        <v>258</v>
      </c>
      <c r="H302" s="1" t="s">
        <v>423</v>
      </c>
      <c r="I302" s="1" t="s">
        <v>171</v>
      </c>
      <c r="J302" s="1" t="s">
        <v>431</v>
      </c>
      <c r="K302">
        <v>20</v>
      </c>
      <c r="L302" s="1" t="s">
        <v>668</v>
      </c>
      <c r="M302">
        <v>45</v>
      </c>
      <c r="N302" s="1" t="s">
        <v>668</v>
      </c>
      <c r="O302" s="1" t="s">
        <v>581</v>
      </c>
      <c r="P302">
        <v>0.28000000000000003</v>
      </c>
      <c r="Q302" s="1" t="s">
        <v>670</v>
      </c>
      <c r="R302" s="1" t="s">
        <v>423</v>
      </c>
      <c r="S302" s="1">
        <f t="shared" ca="1" si="4"/>
        <v>0.10636024986469594</v>
      </c>
    </row>
    <row r="303" spans="1:19" x14ac:dyDescent="0.25">
      <c r="A303" s="1" t="s">
        <v>777</v>
      </c>
      <c r="B303" s="1" t="s">
        <v>773</v>
      </c>
      <c r="C303" s="1" t="s">
        <v>429</v>
      </c>
      <c r="D303" s="1" t="s">
        <v>787</v>
      </c>
      <c r="E303" s="1" t="s">
        <v>817</v>
      </c>
      <c r="F303" s="1" t="s">
        <v>777</v>
      </c>
      <c r="G303" s="1" t="s">
        <v>258</v>
      </c>
      <c r="H303" s="1" t="s">
        <v>423</v>
      </c>
      <c r="I303" s="1" t="s">
        <v>171</v>
      </c>
      <c r="J303" s="1" t="s">
        <v>431</v>
      </c>
      <c r="K303">
        <v>45</v>
      </c>
      <c r="L303" s="1" t="s">
        <v>668</v>
      </c>
      <c r="M303">
        <v>100</v>
      </c>
      <c r="N303" s="1" t="s">
        <v>668</v>
      </c>
      <c r="O303" s="1" t="s">
        <v>696</v>
      </c>
      <c r="P303">
        <v>0.24</v>
      </c>
      <c r="Q303" s="1" t="s">
        <v>670</v>
      </c>
      <c r="R303" s="1" t="s">
        <v>423</v>
      </c>
      <c r="S303" s="1">
        <f t="shared" ca="1" si="4"/>
        <v>0.28925001105381098</v>
      </c>
    </row>
    <row r="304" spans="1:19" x14ac:dyDescent="0.25">
      <c r="A304" s="1" t="s">
        <v>777</v>
      </c>
      <c r="B304" s="1" t="s">
        <v>773</v>
      </c>
      <c r="C304" s="1" t="s">
        <v>429</v>
      </c>
      <c r="D304" s="1" t="s">
        <v>789</v>
      </c>
      <c r="E304" s="1" t="s">
        <v>818</v>
      </c>
      <c r="F304" s="1" t="s">
        <v>777</v>
      </c>
      <c r="G304" s="1" t="s">
        <v>258</v>
      </c>
      <c r="H304" s="1" t="s">
        <v>423</v>
      </c>
      <c r="I304" s="1" t="s">
        <v>171</v>
      </c>
      <c r="J304" s="1" t="s">
        <v>431</v>
      </c>
      <c r="K304">
        <v>100</v>
      </c>
      <c r="L304" s="1" t="s">
        <v>668</v>
      </c>
      <c r="M304">
        <v>5</v>
      </c>
      <c r="N304" s="1" t="s">
        <v>673</v>
      </c>
      <c r="O304" s="1" t="s">
        <v>765</v>
      </c>
      <c r="P304">
        <v>0.24</v>
      </c>
      <c r="Q304" s="1" t="s">
        <v>670</v>
      </c>
      <c r="R304" s="1" t="s">
        <v>423</v>
      </c>
      <c r="S304" s="1">
        <f t="shared" ca="1" si="4"/>
        <v>0.41764075170074544</v>
      </c>
    </row>
    <row r="305" spans="1:19" x14ac:dyDescent="0.25">
      <c r="A305" s="1" t="s">
        <v>777</v>
      </c>
      <c r="B305" s="1" t="s">
        <v>773</v>
      </c>
      <c r="C305" s="1" t="s">
        <v>429</v>
      </c>
      <c r="D305" s="1" t="s">
        <v>791</v>
      </c>
      <c r="E305" s="1" t="s">
        <v>819</v>
      </c>
      <c r="F305" s="1" t="s">
        <v>777</v>
      </c>
      <c r="G305" s="1" t="s">
        <v>258</v>
      </c>
      <c r="H305" s="1" t="s">
        <v>423</v>
      </c>
      <c r="I305" s="1" t="s">
        <v>171</v>
      </c>
      <c r="J305" s="1" t="s">
        <v>431</v>
      </c>
      <c r="K305">
        <v>5</v>
      </c>
      <c r="L305" s="1" t="s">
        <v>673</v>
      </c>
      <c r="M305">
        <v>20</v>
      </c>
      <c r="N305" s="1" t="s">
        <v>673</v>
      </c>
      <c r="O305" s="1" t="s">
        <v>597</v>
      </c>
      <c r="P305">
        <v>0.24</v>
      </c>
      <c r="Q305" s="1" t="s">
        <v>670</v>
      </c>
      <c r="R305" s="1" t="s">
        <v>423</v>
      </c>
      <c r="S305" s="1">
        <f t="shared" ca="1" si="4"/>
        <v>0.30510511284498421</v>
      </c>
    </row>
    <row r="306" spans="1:19" x14ac:dyDescent="0.25">
      <c r="A306" s="1" t="s">
        <v>777</v>
      </c>
      <c r="B306" s="1" t="s">
        <v>773</v>
      </c>
      <c r="C306" s="1" t="s">
        <v>429</v>
      </c>
      <c r="D306" s="1" t="s">
        <v>676</v>
      </c>
      <c r="E306" s="1" t="s">
        <v>820</v>
      </c>
      <c r="F306" s="1" t="s">
        <v>777</v>
      </c>
      <c r="G306" s="1" t="s">
        <v>258</v>
      </c>
      <c r="H306" s="1" t="s">
        <v>423</v>
      </c>
      <c r="I306" s="1" t="s">
        <v>171</v>
      </c>
      <c r="J306" s="1" t="s">
        <v>431</v>
      </c>
      <c r="K306">
        <v>20</v>
      </c>
      <c r="L306" s="1" t="s">
        <v>673</v>
      </c>
      <c r="M306">
        <v>50</v>
      </c>
      <c r="N306" s="1" t="s">
        <v>673</v>
      </c>
      <c r="O306" s="1" t="s">
        <v>700</v>
      </c>
      <c r="P306">
        <v>0.47</v>
      </c>
      <c r="Q306" s="1" t="s">
        <v>670</v>
      </c>
      <c r="R306" s="1" t="s">
        <v>423</v>
      </c>
      <c r="S306" s="1">
        <f t="shared" ca="1" si="4"/>
        <v>0.830790558998039</v>
      </c>
    </row>
    <row r="307" spans="1:19" x14ac:dyDescent="0.25">
      <c r="A307" s="1" t="s">
        <v>777</v>
      </c>
      <c r="B307" s="1" t="s">
        <v>773</v>
      </c>
      <c r="C307" s="1" t="s">
        <v>821</v>
      </c>
      <c r="D307" s="1" t="s">
        <v>822</v>
      </c>
      <c r="E307" s="1" t="s">
        <v>823</v>
      </c>
      <c r="F307" s="1" t="s">
        <v>824</v>
      </c>
      <c r="G307" s="1" t="s">
        <v>171</v>
      </c>
      <c r="H307" s="1" t="s">
        <v>431</v>
      </c>
      <c r="I307" s="1" t="s">
        <v>63</v>
      </c>
      <c r="J307" s="1" t="s">
        <v>431</v>
      </c>
      <c r="K307">
        <v>1</v>
      </c>
      <c r="L307" s="1" t="s">
        <v>668</v>
      </c>
      <c r="M307">
        <v>50</v>
      </c>
      <c r="N307" s="1" t="s">
        <v>668</v>
      </c>
      <c r="O307" s="1" t="s">
        <v>825</v>
      </c>
      <c r="P307">
        <v>0.46</v>
      </c>
      <c r="Q307" s="1" t="s">
        <v>670</v>
      </c>
      <c r="R307" s="1" t="s">
        <v>423</v>
      </c>
      <c r="S307" s="1">
        <f t="shared" ca="1" si="4"/>
        <v>0.61698011816079035</v>
      </c>
    </row>
    <row r="308" spans="1:19" x14ac:dyDescent="0.25">
      <c r="A308" s="1" t="s">
        <v>777</v>
      </c>
      <c r="B308" s="1" t="s">
        <v>773</v>
      </c>
      <c r="C308" s="1" t="s">
        <v>821</v>
      </c>
      <c r="D308" s="1" t="s">
        <v>826</v>
      </c>
      <c r="E308" s="1" t="s">
        <v>827</v>
      </c>
      <c r="F308" s="1" t="s">
        <v>828</v>
      </c>
      <c r="G308" s="1" t="s">
        <v>171</v>
      </c>
      <c r="H308" s="1" t="s">
        <v>431</v>
      </c>
      <c r="I308" s="1" t="s">
        <v>63</v>
      </c>
      <c r="J308" s="1" t="s">
        <v>431</v>
      </c>
      <c r="K308">
        <v>50</v>
      </c>
      <c r="L308" s="1" t="s">
        <v>668</v>
      </c>
      <c r="M308">
        <v>1</v>
      </c>
      <c r="N308" s="1" t="s">
        <v>673</v>
      </c>
      <c r="O308" s="1" t="s">
        <v>829</v>
      </c>
      <c r="P308">
        <v>0.45</v>
      </c>
      <c r="Q308" s="1" t="s">
        <v>670</v>
      </c>
      <c r="R308" s="1" t="s">
        <v>423</v>
      </c>
      <c r="S308" s="1">
        <f t="shared" ca="1" si="4"/>
        <v>0.60525509664961297</v>
      </c>
    </row>
    <row r="309" spans="1:19" x14ac:dyDescent="0.25">
      <c r="A309" s="1" t="s">
        <v>777</v>
      </c>
      <c r="B309" s="1" t="s">
        <v>773</v>
      </c>
      <c r="C309" s="1" t="s">
        <v>821</v>
      </c>
      <c r="D309" s="1" t="s">
        <v>830</v>
      </c>
      <c r="E309" s="1" t="s">
        <v>831</v>
      </c>
      <c r="F309" s="1" t="s">
        <v>832</v>
      </c>
      <c r="G309" s="1" t="s">
        <v>171</v>
      </c>
      <c r="H309" s="1" t="s">
        <v>431</v>
      </c>
      <c r="I309" s="1" t="s">
        <v>63</v>
      </c>
      <c r="J309" s="1" t="s">
        <v>431</v>
      </c>
      <c r="K309">
        <v>1</v>
      </c>
      <c r="L309" s="1" t="s">
        <v>673</v>
      </c>
      <c r="M309">
        <v>5</v>
      </c>
      <c r="N309" s="1" t="s">
        <v>673</v>
      </c>
      <c r="O309" s="1" t="s">
        <v>833</v>
      </c>
      <c r="P309">
        <v>1.2</v>
      </c>
      <c r="Q309" s="1" t="s">
        <v>670</v>
      </c>
      <c r="R309" s="1" t="s">
        <v>423</v>
      </c>
      <c r="S309" s="1">
        <f t="shared" ca="1" si="4"/>
        <v>0.1810527290986268</v>
      </c>
    </row>
    <row r="310" spans="1:19" x14ac:dyDescent="0.25">
      <c r="A310" s="1" t="s">
        <v>777</v>
      </c>
      <c r="B310" s="1" t="s">
        <v>773</v>
      </c>
      <c r="C310" s="1" t="s">
        <v>834</v>
      </c>
      <c r="D310" s="1" t="s">
        <v>822</v>
      </c>
      <c r="E310" s="1" t="s">
        <v>835</v>
      </c>
      <c r="F310" s="1" t="s">
        <v>832</v>
      </c>
      <c r="G310" s="1" t="s">
        <v>63</v>
      </c>
      <c r="H310" s="1" t="s">
        <v>431</v>
      </c>
      <c r="I310" s="1" t="s">
        <v>124</v>
      </c>
      <c r="J310" s="1" t="s">
        <v>431</v>
      </c>
      <c r="K310">
        <v>1</v>
      </c>
      <c r="L310" s="1" t="s">
        <v>668</v>
      </c>
      <c r="M310">
        <v>50</v>
      </c>
      <c r="N310" s="1" t="s">
        <v>668</v>
      </c>
      <c r="O310" s="1" t="s">
        <v>836</v>
      </c>
      <c r="P310">
        <v>0.47</v>
      </c>
      <c r="Q310" s="1" t="s">
        <v>670</v>
      </c>
      <c r="R310" s="1" t="s">
        <v>423</v>
      </c>
      <c r="S310" s="1">
        <f t="shared" ca="1" si="4"/>
        <v>0.8785167138329788</v>
      </c>
    </row>
    <row r="311" spans="1:19" x14ac:dyDescent="0.25">
      <c r="A311" s="1" t="s">
        <v>777</v>
      </c>
      <c r="B311" s="1" t="s">
        <v>773</v>
      </c>
      <c r="C311" s="1" t="s">
        <v>834</v>
      </c>
      <c r="D311" s="1" t="s">
        <v>826</v>
      </c>
      <c r="E311" s="1" t="s">
        <v>837</v>
      </c>
      <c r="F311" s="1" t="s">
        <v>832</v>
      </c>
      <c r="G311" s="1" t="s">
        <v>63</v>
      </c>
      <c r="H311" s="1" t="s">
        <v>431</v>
      </c>
      <c r="I311" s="1" t="s">
        <v>124</v>
      </c>
      <c r="J311" s="1" t="s">
        <v>431</v>
      </c>
      <c r="K311">
        <v>50</v>
      </c>
      <c r="L311" s="1" t="s">
        <v>668</v>
      </c>
      <c r="M311">
        <v>1</v>
      </c>
      <c r="N311" s="1" t="s">
        <v>673</v>
      </c>
      <c r="O311" s="1" t="s">
        <v>829</v>
      </c>
      <c r="P311">
        <v>2.2000000000000002</v>
      </c>
      <c r="Q311" s="1" t="s">
        <v>670</v>
      </c>
      <c r="R311" s="1" t="s">
        <v>423</v>
      </c>
      <c r="S311" s="1">
        <f t="shared" ca="1" si="4"/>
        <v>0.27745037883449997</v>
      </c>
    </row>
    <row r="312" spans="1:19" x14ac:dyDescent="0.25">
      <c r="A312" s="1" t="s">
        <v>777</v>
      </c>
      <c r="B312" s="1" t="s">
        <v>773</v>
      </c>
      <c r="C312" s="1" t="s">
        <v>834</v>
      </c>
      <c r="D312" s="1" t="s">
        <v>830</v>
      </c>
      <c r="E312" s="1" t="s">
        <v>838</v>
      </c>
      <c r="F312" s="1" t="s">
        <v>832</v>
      </c>
      <c r="G312" s="1" t="s">
        <v>63</v>
      </c>
      <c r="H312" s="1" t="s">
        <v>431</v>
      </c>
      <c r="I312" s="1" t="s">
        <v>124</v>
      </c>
      <c r="J312" s="1" t="s">
        <v>431</v>
      </c>
      <c r="K312">
        <v>1</v>
      </c>
      <c r="L312" s="1" t="s">
        <v>673</v>
      </c>
      <c r="M312">
        <v>5</v>
      </c>
      <c r="N312" s="1" t="s">
        <v>673</v>
      </c>
      <c r="O312" s="1" t="s">
        <v>839</v>
      </c>
      <c r="P312">
        <v>1.1000000000000001</v>
      </c>
      <c r="Q312" s="1" t="s">
        <v>670</v>
      </c>
      <c r="R312" s="1" t="s">
        <v>423</v>
      </c>
      <c r="S312" s="1">
        <f t="shared" ca="1" si="4"/>
        <v>0.94121490163751798</v>
      </c>
    </row>
    <row r="313" spans="1:19" x14ac:dyDescent="0.25">
      <c r="A313" s="1" t="s">
        <v>501</v>
      </c>
      <c r="B313" s="1" t="s">
        <v>840</v>
      </c>
      <c r="C313" s="1" t="s">
        <v>841</v>
      </c>
      <c r="D313" s="1" t="s">
        <v>775</v>
      </c>
      <c r="E313" s="1" t="s">
        <v>842</v>
      </c>
      <c r="F313" s="1" t="s">
        <v>501</v>
      </c>
      <c r="G313" s="1" t="s">
        <v>843</v>
      </c>
      <c r="H313" s="1" t="s">
        <v>415</v>
      </c>
      <c r="I313" s="1" t="s">
        <v>265</v>
      </c>
      <c r="J313" s="1" t="s">
        <v>415</v>
      </c>
      <c r="K313">
        <v>10</v>
      </c>
      <c r="L313" s="1" t="s">
        <v>668</v>
      </c>
      <c r="M313">
        <v>20</v>
      </c>
      <c r="N313" s="1" t="s">
        <v>668</v>
      </c>
      <c r="O313" s="1" t="s">
        <v>449</v>
      </c>
      <c r="P313">
        <v>0.13</v>
      </c>
      <c r="Q313" s="1" t="s">
        <v>670</v>
      </c>
      <c r="R313" s="1" t="s">
        <v>415</v>
      </c>
      <c r="S313" s="1">
        <f t="shared" ca="1" si="4"/>
        <v>0.40011692917521102</v>
      </c>
    </row>
    <row r="314" spans="1:19" x14ac:dyDescent="0.25">
      <c r="A314" s="1" t="s">
        <v>501</v>
      </c>
      <c r="B314" s="1" t="s">
        <v>840</v>
      </c>
      <c r="C314" s="1" t="s">
        <v>841</v>
      </c>
      <c r="D314" s="1" t="s">
        <v>779</v>
      </c>
      <c r="E314" s="1" t="s">
        <v>844</v>
      </c>
      <c r="F314" s="1" t="s">
        <v>501</v>
      </c>
      <c r="G314" s="1" t="s">
        <v>843</v>
      </c>
      <c r="H314" s="1" t="s">
        <v>415</v>
      </c>
      <c r="I314" s="1" t="s">
        <v>265</v>
      </c>
      <c r="J314" s="1" t="s">
        <v>415</v>
      </c>
      <c r="K314">
        <v>20</v>
      </c>
      <c r="L314" s="1" t="s">
        <v>668</v>
      </c>
      <c r="M314">
        <v>45</v>
      </c>
      <c r="N314" s="1" t="s">
        <v>668</v>
      </c>
      <c r="O314" s="1" t="s">
        <v>549</v>
      </c>
      <c r="P314">
        <v>0.13</v>
      </c>
      <c r="Q314" s="1" t="s">
        <v>670</v>
      </c>
      <c r="R314" s="1" t="s">
        <v>415</v>
      </c>
      <c r="S314" s="1">
        <f t="shared" ca="1" si="4"/>
        <v>0.84210377732489183</v>
      </c>
    </row>
    <row r="315" spans="1:19" x14ac:dyDescent="0.25">
      <c r="A315" s="1" t="s">
        <v>501</v>
      </c>
      <c r="B315" s="1" t="s">
        <v>840</v>
      </c>
      <c r="C315" s="1" t="s">
        <v>841</v>
      </c>
      <c r="D315" s="1" t="s">
        <v>845</v>
      </c>
      <c r="E315" s="1" t="s">
        <v>846</v>
      </c>
      <c r="F315" s="1" t="s">
        <v>501</v>
      </c>
      <c r="G315" s="1" t="s">
        <v>843</v>
      </c>
      <c r="H315" s="1" t="s">
        <v>415</v>
      </c>
      <c r="I315" s="1" t="s">
        <v>265</v>
      </c>
      <c r="J315" s="1" t="s">
        <v>415</v>
      </c>
      <c r="K315">
        <v>45</v>
      </c>
      <c r="L315" s="1" t="s">
        <v>668</v>
      </c>
      <c r="M315">
        <v>1</v>
      </c>
      <c r="N315" s="1" t="s">
        <v>673</v>
      </c>
      <c r="O315" s="1" t="s">
        <v>736</v>
      </c>
      <c r="P315">
        <v>0.14000000000000001</v>
      </c>
      <c r="Q315" s="1" t="s">
        <v>670</v>
      </c>
      <c r="R315" s="1" t="s">
        <v>415</v>
      </c>
      <c r="S315" s="1">
        <f t="shared" ca="1" si="4"/>
        <v>0.9952944324377957</v>
      </c>
    </row>
    <row r="316" spans="1:19" x14ac:dyDescent="0.25">
      <c r="A316" s="1" t="s">
        <v>501</v>
      </c>
      <c r="B316" s="1" t="s">
        <v>840</v>
      </c>
      <c r="C316" s="1" t="s">
        <v>841</v>
      </c>
      <c r="D316" s="1" t="s">
        <v>830</v>
      </c>
      <c r="E316" s="1" t="s">
        <v>847</v>
      </c>
      <c r="F316" s="1" t="s">
        <v>501</v>
      </c>
      <c r="G316" s="1" t="s">
        <v>843</v>
      </c>
      <c r="H316" s="1" t="s">
        <v>415</v>
      </c>
      <c r="I316" s="1" t="s">
        <v>265</v>
      </c>
      <c r="J316" s="1" t="s">
        <v>415</v>
      </c>
      <c r="K316">
        <v>1</v>
      </c>
      <c r="L316" s="1" t="s">
        <v>673</v>
      </c>
      <c r="M316">
        <v>5</v>
      </c>
      <c r="N316" s="1" t="s">
        <v>673</v>
      </c>
      <c r="O316" s="1" t="s">
        <v>597</v>
      </c>
      <c r="P316">
        <v>0.18</v>
      </c>
      <c r="Q316" s="1" t="s">
        <v>670</v>
      </c>
      <c r="R316" s="1" t="s">
        <v>415</v>
      </c>
      <c r="S316" s="1">
        <f t="shared" ca="1" si="4"/>
        <v>0.75317574458787928</v>
      </c>
    </row>
    <row r="317" spans="1:19" x14ac:dyDescent="0.25">
      <c r="A317" s="1" t="s">
        <v>501</v>
      </c>
      <c r="B317" s="1" t="s">
        <v>840</v>
      </c>
      <c r="C317" s="1" t="s">
        <v>841</v>
      </c>
      <c r="D317" s="1" t="s">
        <v>848</v>
      </c>
      <c r="E317" s="1" t="s">
        <v>849</v>
      </c>
      <c r="F317" s="1" t="s">
        <v>501</v>
      </c>
      <c r="G317" s="1" t="s">
        <v>843</v>
      </c>
      <c r="H317" s="1" t="s">
        <v>415</v>
      </c>
      <c r="I317" s="1" t="s">
        <v>265</v>
      </c>
      <c r="J317" s="1" t="s">
        <v>415</v>
      </c>
      <c r="K317">
        <v>5</v>
      </c>
      <c r="L317" s="1" t="s">
        <v>673</v>
      </c>
      <c r="M317">
        <v>10</v>
      </c>
      <c r="N317" s="1" t="s">
        <v>673</v>
      </c>
      <c r="O317" s="1" t="s">
        <v>850</v>
      </c>
      <c r="P317">
        <v>0.25</v>
      </c>
      <c r="Q317" s="1" t="s">
        <v>670</v>
      </c>
      <c r="R317" s="1" t="s">
        <v>415</v>
      </c>
      <c r="S317" s="1">
        <f t="shared" ca="1" si="4"/>
        <v>0.94151013716424825</v>
      </c>
    </row>
    <row r="318" spans="1:19" x14ac:dyDescent="0.25">
      <c r="A318" s="1" t="s">
        <v>501</v>
      </c>
      <c r="B318" s="1" t="s">
        <v>840</v>
      </c>
      <c r="C318" s="1" t="s">
        <v>841</v>
      </c>
      <c r="D318" s="1" t="s">
        <v>851</v>
      </c>
      <c r="E318" s="1" t="s">
        <v>852</v>
      </c>
      <c r="F318" s="1" t="s">
        <v>501</v>
      </c>
      <c r="G318" s="1" t="s">
        <v>843</v>
      </c>
      <c r="H318" s="1" t="s">
        <v>415</v>
      </c>
      <c r="I318" s="1" t="s">
        <v>265</v>
      </c>
      <c r="J318" s="1" t="s">
        <v>415</v>
      </c>
      <c r="K318">
        <v>10</v>
      </c>
      <c r="L318" s="1" t="s">
        <v>673</v>
      </c>
      <c r="M318">
        <v>30</v>
      </c>
      <c r="N318" s="1" t="s">
        <v>673</v>
      </c>
      <c r="O318" s="1" t="s">
        <v>853</v>
      </c>
      <c r="P318">
        <v>0.62</v>
      </c>
      <c r="Q318" s="1" t="s">
        <v>670</v>
      </c>
      <c r="R318" s="1" t="s">
        <v>415</v>
      </c>
      <c r="S318" s="1">
        <f t="shared" ca="1" si="4"/>
        <v>0.34084518620560966</v>
      </c>
    </row>
    <row r="319" spans="1:19" x14ac:dyDescent="0.25">
      <c r="A319" s="1" t="s">
        <v>501</v>
      </c>
      <c r="B319" s="1" t="s">
        <v>840</v>
      </c>
      <c r="C319" s="1" t="s">
        <v>854</v>
      </c>
      <c r="D319" s="1" t="s">
        <v>775</v>
      </c>
      <c r="E319" s="1" t="s">
        <v>855</v>
      </c>
      <c r="F319" s="1" t="s">
        <v>501</v>
      </c>
      <c r="G319" s="1" t="s">
        <v>265</v>
      </c>
      <c r="H319" s="1" t="s">
        <v>415</v>
      </c>
      <c r="I319" s="1" t="s">
        <v>176</v>
      </c>
      <c r="J319" s="1" t="s">
        <v>423</v>
      </c>
      <c r="K319">
        <v>10</v>
      </c>
      <c r="L319" s="1" t="s">
        <v>668</v>
      </c>
      <c r="M319">
        <v>20</v>
      </c>
      <c r="N319" s="1" t="s">
        <v>668</v>
      </c>
      <c r="O319" s="1" t="s">
        <v>449</v>
      </c>
      <c r="P319">
        <v>0.23</v>
      </c>
      <c r="Q319" s="1" t="s">
        <v>670</v>
      </c>
      <c r="R319" s="1" t="s">
        <v>415</v>
      </c>
      <c r="S319" s="1">
        <f t="shared" ca="1" si="4"/>
        <v>3.5927027341304818E-2</v>
      </c>
    </row>
    <row r="320" spans="1:19" x14ac:dyDescent="0.25">
      <c r="A320" s="1" t="s">
        <v>501</v>
      </c>
      <c r="B320" s="1" t="s">
        <v>840</v>
      </c>
      <c r="C320" s="1" t="s">
        <v>854</v>
      </c>
      <c r="D320" s="1" t="s">
        <v>779</v>
      </c>
      <c r="E320" s="1" t="s">
        <v>856</v>
      </c>
      <c r="F320" s="1" t="s">
        <v>501</v>
      </c>
      <c r="G320" s="1" t="s">
        <v>265</v>
      </c>
      <c r="H320" s="1" t="s">
        <v>415</v>
      </c>
      <c r="I320" s="1" t="s">
        <v>176</v>
      </c>
      <c r="J320" s="1" t="s">
        <v>423</v>
      </c>
      <c r="K320">
        <v>20</v>
      </c>
      <c r="L320" s="1" t="s">
        <v>668</v>
      </c>
      <c r="M320">
        <v>45</v>
      </c>
      <c r="N320" s="1" t="s">
        <v>668</v>
      </c>
      <c r="O320" s="1" t="s">
        <v>736</v>
      </c>
      <c r="P320">
        <v>0.32</v>
      </c>
      <c r="Q320" s="1" t="s">
        <v>670</v>
      </c>
      <c r="R320" s="1" t="s">
        <v>415</v>
      </c>
      <c r="S320" s="1">
        <f t="shared" ca="1" si="4"/>
        <v>0.190152127129392</v>
      </c>
    </row>
    <row r="321" spans="1:19" x14ac:dyDescent="0.25">
      <c r="A321" s="1" t="s">
        <v>501</v>
      </c>
      <c r="B321" s="1" t="s">
        <v>840</v>
      </c>
      <c r="C321" s="1" t="s">
        <v>854</v>
      </c>
      <c r="D321" s="1" t="s">
        <v>845</v>
      </c>
      <c r="E321" s="1" t="s">
        <v>857</v>
      </c>
      <c r="F321" s="1" t="s">
        <v>501</v>
      </c>
      <c r="G321" s="1" t="s">
        <v>265</v>
      </c>
      <c r="H321" s="1" t="s">
        <v>415</v>
      </c>
      <c r="I321" s="1" t="s">
        <v>176</v>
      </c>
      <c r="J321" s="1" t="s">
        <v>423</v>
      </c>
      <c r="K321">
        <v>45</v>
      </c>
      <c r="L321" s="1" t="s">
        <v>668</v>
      </c>
      <c r="M321">
        <v>1</v>
      </c>
      <c r="N321" s="1" t="s">
        <v>673</v>
      </c>
      <c r="O321" s="1" t="s">
        <v>765</v>
      </c>
      <c r="P321">
        <v>0.18</v>
      </c>
      <c r="Q321" s="1" t="s">
        <v>670</v>
      </c>
      <c r="R321" s="1" t="s">
        <v>415</v>
      </c>
      <c r="S321" s="1">
        <f t="shared" ca="1" si="4"/>
        <v>0.25405013095205187</v>
      </c>
    </row>
    <row r="322" spans="1:19" x14ac:dyDescent="0.25">
      <c r="A322" s="1" t="s">
        <v>501</v>
      </c>
      <c r="B322" s="1" t="s">
        <v>840</v>
      </c>
      <c r="C322" s="1" t="s">
        <v>854</v>
      </c>
      <c r="D322" s="1" t="s">
        <v>830</v>
      </c>
      <c r="E322" s="1" t="s">
        <v>858</v>
      </c>
      <c r="F322" s="1" t="s">
        <v>501</v>
      </c>
      <c r="G322" s="1" t="s">
        <v>265</v>
      </c>
      <c r="H322" s="1" t="s">
        <v>415</v>
      </c>
      <c r="I322" s="1" t="s">
        <v>176</v>
      </c>
      <c r="J322" s="1" t="s">
        <v>423</v>
      </c>
      <c r="K322">
        <v>1</v>
      </c>
      <c r="L322" s="1" t="s">
        <v>673</v>
      </c>
      <c r="M322">
        <v>5</v>
      </c>
      <c r="N322" s="1" t="s">
        <v>673</v>
      </c>
      <c r="O322" s="1" t="s">
        <v>449</v>
      </c>
      <c r="P322">
        <v>0.27</v>
      </c>
      <c r="Q322" s="1" t="s">
        <v>670</v>
      </c>
      <c r="R322" s="1" t="s">
        <v>415</v>
      </c>
      <c r="S322" s="1">
        <f t="shared" ref="S322:S385" ca="1" si="5">RAND()</f>
        <v>0.98185749910858566</v>
      </c>
    </row>
    <row r="323" spans="1:19" x14ac:dyDescent="0.25">
      <c r="A323" s="1" t="s">
        <v>501</v>
      </c>
      <c r="B323" s="1" t="s">
        <v>840</v>
      </c>
      <c r="C323" s="1" t="s">
        <v>854</v>
      </c>
      <c r="D323" s="1" t="s">
        <v>848</v>
      </c>
      <c r="E323" s="1" t="s">
        <v>859</v>
      </c>
      <c r="F323" s="1" t="s">
        <v>501</v>
      </c>
      <c r="G323" s="1" t="s">
        <v>265</v>
      </c>
      <c r="H323" s="1" t="s">
        <v>415</v>
      </c>
      <c r="I323" s="1" t="s">
        <v>176</v>
      </c>
      <c r="J323" s="1" t="s">
        <v>423</v>
      </c>
      <c r="K323">
        <v>5</v>
      </c>
      <c r="L323" s="1" t="s">
        <v>673</v>
      </c>
      <c r="M323">
        <v>10</v>
      </c>
      <c r="N323" s="1" t="s">
        <v>673</v>
      </c>
      <c r="O323" s="1" t="s">
        <v>497</v>
      </c>
      <c r="P323">
        <v>0.35</v>
      </c>
      <c r="Q323" s="1" t="s">
        <v>670</v>
      </c>
      <c r="R323" s="1" t="s">
        <v>415</v>
      </c>
      <c r="S323" s="1">
        <f t="shared" ca="1" si="5"/>
        <v>0.10682428664166688</v>
      </c>
    </row>
    <row r="324" spans="1:19" x14ac:dyDescent="0.25">
      <c r="A324" s="1" t="s">
        <v>501</v>
      </c>
      <c r="B324" s="1" t="s">
        <v>840</v>
      </c>
      <c r="C324" s="1" t="s">
        <v>854</v>
      </c>
      <c r="D324" s="1" t="s">
        <v>851</v>
      </c>
      <c r="E324" s="1" t="s">
        <v>860</v>
      </c>
      <c r="F324" s="1" t="s">
        <v>501</v>
      </c>
      <c r="G324" s="1" t="s">
        <v>265</v>
      </c>
      <c r="H324" s="1" t="s">
        <v>415</v>
      </c>
      <c r="I324" s="1" t="s">
        <v>176</v>
      </c>
      <c r="J324" s="1" t="s">
        <v>423</v>
      </c>
      <c r="K324">
        <v>10</v>
      </c>
      <c r="L324" s="1" t="s">
        <v>673</v>
      </c>
      <c r="M324">
        <v>30</v>
      </c>
      <c r="N324" s="1" t="s">
        <v>673</v>
      </c>
      <c r="O324" s="1" t="s">
        <v>700</v>
      </c>
      <c r="P324">
        <v>0.7</v>
      </c>
      <c r="Q324" s="1" t="s">
        <v>670</v>
      </c>
      <c r="R324" s="1" t="s">
        <v>415</v>
      </c>
      <c r="S324" s="1">
        <f t="shared" ca="1" si="5"/>
        <v>0.89603717224825508</v>
      </c>
    </row>
    <row r="325" spans="1:19" x14ac:dyDescent="0.25">
      <c r="A325" s="1" t="s">
        <v>501</v>
      </c>
      <c r="B325" s="1" t="s">
        <v>840</v>
      </c>
      <c r="C325" s="1" t="s">
        <v>861</v>
      </c>
      <c r="D325" s="1" t="s">
        <v>775</v>
      </c>
      <c r="E325" s="1" t="s">
        <v>862</v>
      </c>
      <c r="F325" s="1" t="s">
        <v>501</v>
      </c>
      <c r="G325" s="1" t="s">
        <v>176</v>
      </c>
      <c r="H325" s="1" t="s">
        <v>423</v>
      </c>
      <c r="I325" s="1" t="s">
        <v>509</v>
      </c>
      <c r="J325" s="1" t="s">
        <v>423</v>
      </c>
      <c r="K325">
        <v>10</v>
      </c>
      <c r="L325" s="1" t="s">
        <v>668</v>
      </c>
      <c r="M325">
        <v>20</v>
      </c>
      <c r="N325" s="1" t="s">
        <v>668</v>
      </c>
      <c r="O325" s="1" t="s">
        <v>445</v>
      </c>
      <c r="P325">
        <v>2.4</v>
      </c>
      <c r="Q325" s="1" t="s">
        <v>670</v>
      </c>
      <c r="R325" s="1" t="s">
        <v>415</v>
      </c>
      <c r="S325" s="1">
        <f t="shared" ca="1" si="5"/>
        <v>0.21253184427048855</v>
      </c>
    </row>
    <row r="326" spans="1:19" x14ac:dyDescent="0.25">
      <c r="A326" s="1" t="s">
        <v>501</v>
      </c>
      <c r="B326" s="1" t="s">
        <v>840</v>
      </c>
      <c r="C326" s="1" t="s">
        <v>861</v>
      </c>
      <c r="D326" s="1" t="s">
        <v>779</v>
      </c>
      <c r="E326" s="1" t="s">
        <v>863</v>
      </c>
      <c r="F326" s="1" t="s">
        <v>501</v>
      </c>
      <c r="G326" s="1" t="s">
        <v>176</v>
      </c>
      <c r="H326" s="1" t="s">
        <v>423</v>
      </c>
      <c r="I326" s="1" t="s">
        <v>509</v>
      </c>
      <c r="J326" s="1" t="s">
        <v>423</v>
      </c>
      <c r="K326">
        <v>20</v>
      </c>
      <c r="L326" s="1" t="s">
        <v>668</v>
      </c>
      <c r="M326">
        <v>45</v>
      </c>
      <c r="N326" s="1" t="s">
        <v>668</v>
      </c>
      <c r="O326" s="1" t="s">
        <v>118</v>
      </c>
      <c r="P326">
        <v>3.8</v>
      </c>
      <c r="Q326" s="1" t="s">
        <v>670</v>
      </c>
      <c r="R326" s="1" t="s">
        <v>415</v>
      </c>
      <c r="S326" s="1">
        <f t="shared" ca="1" si="5"/>
        <v>0.88160352960186661</v>
      </c>
    </row>
    <row r="327" spans="1:19" x14ac:dyDescent="0.25">
      <c r="A327" s="1" t="s">
        <v>501</v>
      </c>
      <c r="B327" s="1" t="s">
        <v>840</v>
      </c>
      <c r="C327" s="1" t="s">
        <v>861</v>
      </c>
      <c r="D327" s="1" t="s">
        <v>845</v>
      </c>
      <c r="E327" s="1" t="s">
        <v>864</v>
      </c>
      <c r="F327" s="1" t="s">
        <v>501</v>
      </c>
      <c r="G327" s="1" t="s">
        <v>176</v>
      </c>
      <c r="H327" s="1" t="s">
        <v>423</v>
      </c>
      <c r="I327" s="1" t="s">
        <v>509</v>
      </c>
      <c r="J327" s="1" t="s">
        <v>423</v>
      </c>
      <c r="K327">
        <v>45</v>
      </c>
      <c r="L327" s="1" t="s">
        <v>668</v>
      </c>
      <c r="M327">
        <v>1</v>
      </c>
      <c r="N327" s="1" t="s">
        <v>673</v>
      </c>
      <c r="O327" s="1" t="s">
        <v>865</v>
      </c>
      <c r="P327">
        <v>2.4</v>
      </c>
      <c r="Q327" s="1" t="s">
        <v>670</v>
      </c>
      <c r="R327" s="1" t="s">
        <v>415</v>
      </c>
      <c r="S327" s="1">
        <f t="shared" ca="1" si="5"/>
        <v>0.65171935640468759</v>
      </c>
    </row>
    <row r="328" spans="1:19" x14ac:dyDescent="0.25">
      <c r="A328" s="1" t="s">
        <v>501</v>
      </c>
      <c r="B328" s="1" t="s">
        <v>840</v>
      </c>
      <c r="C328" s="1" t="s">
        <v>861</v>
      </c>
      <c r="D328" s="1" t="s">
        <v>830</v>
      </c>
      <c r="E328" s="1" t="s">
        <v>866</v>
      </c>
      <c r="F328" s="1" t="s">
        <v>501</v>
      </c>
      <c r="G328" s="1" t="s">
        <v>176</v>
      </c>
      <c r="H328" s="1" t="s">
        <v>423</v>
      </c>
      <c r="I328" s="1" t="s">
        <v>509</v>
      </c>
      <c r="J328" s="1" t="s">
        <v>423</v>
      </c>
      <c r="K328">
        <v>1</v>
      </c>
      <c r="L328" s="1" t="s">
        <v>673</v>
      </c>
      <c r="M328">
        <v>5</v>
      </c>
      <c r="N328" s="1" t="s">
        <v>673</v>
      </c>
      <c r="O328" s="1" t="s">
        <v>867</v>
      </c>
      <c r="P328">
        <v>2.4</v>
      </c>
      <c r="Q328" s="1" t="s">
        <v>670</v>
      </c>
      <c r="R328" s="1" t="s">
        <v>415</v>
      </c>
      <c r="S328" s="1">
        <f t="shared" ca="1" si="5"/>
        <v>0.55497921281551421</v>
      </c>
    </row>
    <row r="329" spans="1:19" x14ac:dyDescent="0.25">
      <c r="A329" s="1" t="s">
        <v>501</v>
      </c>
      <c r="B329" s="1" t="s">
        <v>840</v>
      </c>
      <c r="C329" s="1" t="s">
        <v>861</v>
      </c>
      <c r="D329" s="1" t="s">
        <v>848</v>
      </c>
      <c r="E329" s="1" t="s">
        <v>868</v>
      </c>
      <c r="F329" s="1" t="s">
        <v>501</v>
      </c>
      <c r="G329" s="1" t="s">
        <v>176</v>
      </c>
      <c r="H329" s="1" t="s">
        <v>423</v>
      </c>
      <c r="I329" s="1" t="s">
        <v>509</v>
      </c>
      <c r="J329" s="1" t="s">
        <v>423</v>
      </c>
      <c r="K329">
        <v>5</v>
      </c>
      <c r="L329" s="1" t="s">
        <v>673</v>
      </c>
      <c r="M329">
        <v>10</v>
      </c>
      <c r="N329" s="1" t="s">
        <v>673</v>
      </c>
      <c r="O329" s="1" t="s">
        <v>449</v>
      </c>
      <c r="P329">
        <v>3.8</v>
      </c>
      <c r="Q329" s="1" t="s">
        <v>670</v>
      </c>
      <c r="R329" s="1" t="s">
        <v>415</v>
      </c>
      <c r="S329" s="1">
        <f t="shared" ca="1" si="5"/>
        <v>9.5573251714843765E-2</v>
      </c>
    </row>
    <row r="330" spans="1:19" x14ac:dyDescent="0.25">
      <c r="A330" s="1" t="s">
        <v>501</v>
      </c>
      <c r="B330" s="1" t="s">
        <v>840</v>
      </c>
      <c r="C330" s="1" t="s">
        <v>861</v>
      </c>
      <c r="D330" s="1" t="s">
        <v>851</v>
      </c>
      <c r="E330" s="1" t="s">
        <v>869</v>
      </c>
      <c r="F330" s="1" t="s">
        <v>501</v>
      </c>
      <c r="G330" s="1" t="s">
        <v>176</v>
      </c>
      <c r="H330" s="1" t="s">
        <v>423</v>
      </c>
      <c r="I330" s="1" t="s">
        <v>509</v>
      </c>
      <c r="J330" s="1" t="s">
        <v>423</v>
      </c>
      <c r="K330">
        <v>10</v>
      </c>
      <c r="L330" s="1" t="s">
        <v>673</v>
      </c>
      <c r="M330">
        <v>30</v>
      </c>
      <c r="N330" s="1" t="s">
        <v>673</v>
      </c>
      <c r="O330" s="1" t="s">
        <v>524</v>
      </c>
      <c r="P330">
        <v>5.3</v>
      </c>
      <c r="Q330" s="1" t="s">
        <v>670</v>
      </c>
      <c r="R330" s="1" t="s">
        <v>415</v>
      </c>
      <c r="S330" s="1">
        <f t="shared" ca="1" si="5"/>
        <v>0.66705271111644726</v>
      </c>
    </row>
    <row r="331" spans="1:19" x14ac:dyDescent="0.25">
      <c r="A331" s="1" t="s">
        <v>501</v>
      </c>
      <c r="B331" s="1" t="s">
        <v>840</v>
      </c>
      <c r="C331" s="1" t="s">
        <v>870</v>
      </c>
      <c r="D331" s="1" t="s">
        <v>775</v>
      </c>
      <c r="E331" s="1" t="s">
        <v>871</v>
      </c>
      <c r="F331" s="1" t="s">
        <v>501</v>
      </c>
      <c r="G331" s="1" t="s">
        <v>509</v>
      </c>
      <c r="H331" s="1" t="s">
        <v>423</v>
      </c>
      <c r="I331" s="1" t="s">
        <v>265</v>
      </c>
      <c r="J331" s="1" t="s">
        <v>423</v>
      </c>
      <c r="K331">
        <v>10</v>
      </c>
      <c r="L331" s="1" t="s">
        <v>668</v>
      </c>
      <c r="M331">
        <v>20</v>
      </c>
      <c r="N331" s="1" t="s">
        <v>668</v>
      </c>
      <c r="O331" s="1" t="s">
        <v>445</v>
      </c>
      <c r="P331">
        <v>23</v>
      </c>
      <c r="Q331" s="1" t="s">
        <v>670</v>
      </c>
      <c r="R331" s="1" t="s">
        <v>415</v>
      </c>
      <c r="S331" s="1">
        <f t="shared" ca="1" si="5"/>
        <v>0.82764177704832331</v>
      </c>
    </row>
    <row r="332" spans="1:19" x14ac:dyDescent="0.25">
      <c r="A332" s="1" t="s">
        <v>501</v>
      </c>
      <c r="B332" s="1" t="s">
        <v>840</v>
      </c>
      <c r="C332" s="1" t="s">
        <v>870</v>
      </c>
      <c r="D332" s="1" t="s">
        <v>779</v>
      </c>
      <c r="E332" s="1" t="s">
        <v>872</v>
      </c>
      <c r="F332" s="1" t="s">
        <v>501</v>
      </c>
      <c r="G332" s="1" t="s">
        <v>509</v>
      </c>
      <c r="H332" s="1" t="s">
        <v>423</v>
      </c>
      <c r="I332" s="1" t="s">
        <v>265</v>
      </c>
      <c r="J332" s="1" t="s">
        <v>423</v>
      </c>
      <c r="K332">
        <v>20</v>
      </c>
      <c r="L332" s="1" t="s">
        <v>668</v>
      </c>
      <c r="M332">
        <v>45</v>
      </c>
      <c r="N332" s="1" t="s">
        <v>668</v>
      </c>
      <c r="O332" s="1" t="s">
        <v>118</v>
      </c>
      <c r="P332">
        <v>38</v>
      </c>
      <c r="Q332" s="1" t="s">
        <v>670</v>
      </c>
      <c r="R332" s="1" t="s">
        <v>415</v>
      </c>
      <c r="S332" s="1">
        <f t="shared" ca="1" si="5"/>
        <v>0.64567824246683669</v>
      </c>
    </row>
    <row r="333" spans="1:19" x14ac:dyDescent="0.25">
      <c r="A333" s="1" t="s">
        <v>501</v>
      </c>
      <c r="B333" s="1" t="s">
        <v>840</v>
      </c>
      <c r="C333" s="1" t="s">
        <v>870</v>
      </c>
      <c r="D333" s="1" t="s">
        <v>845</v>
      </c>
      <c r="E333" s="1" t="s">
        <v>873</v>
      </c>
      <c r="F333" s="1" t="s">
        <v>501</v>
      </c>
      <c r="G333" s="1" t="s">
        <v>509</v>
      </c>
      <c r="H333" s="1" t="s">
        <v>423</v>
      </c>
      <c r="I333" s="1" t="s">
        <v>265</v>
      </c>
      <c r="J333" s="1" t="s">
        <v>423</v>
      </c>
      <c r="K333">
        <v>45</v>
      </c>
      <c r="L333" s="1" t="s">
        <v>668</v>
      </c>
      <c r="M333">
        <v>1</v>
      </c>
      <c r="N333" s="1" t="s">
        <v>673</v>
      </c>
      <c r="O333" s="1" t="s">
        <v>865</v>
      </c>
      <c r="P333">
        <v>24</v>
      </c>
      <c r="Q333" s="1" t="s">
        <v>670</v>
      </c>
      <c r="R333" s="1" t="s">
        <v>415</v>
      </c>
      <c r="S333" s="1">
        <f t="shared" ca="1" si="5"/>
        <v>1.4843082206843827E-2</v>
      </c>
    </row>
    <row r="334" spans="1:19" x14ac:dyDescent="0.25">
      <c r="A334" s="1" t="s">
        <v>501</v>
      </c>
      <c r="B334" s="1" t="s">
        <v>840</v>
      </c>
      <c r="C334" s="1" t="s">
        <v>870</v>
      </c>
      <c r="D334" s="1" t="s">
        <v>830</v>
      </c>
      <c r="E334" s="1" t="s">
        <v>874</v>
      </c>
      <c r="F334" s="1" t="s">
        <v>501</v>
      </c>
      <c r="G334" s="1" t="s">
        <v>509</v>
      </c>
      <c r="H334" s="1" t="s">
        <v>423</v>
      </c>
      <c r="I334" s="1" t="s">
        <v>265</v>
      </c>
      <c r="J334" s="1" t="s">
        <v>423</v>
      </c>
      <c r="K334">
        <v>1</v>
      </c>
      <c r="L334" s="1" t="s">
        <v>673</v>
      </c>
      <c r="M334">
        <v>5</v>
      </c>
      <c r="N334" s="1" t="s">
        <v>673</v>
      </c>
      <c r="O334" s="1" t="s">
        <v>765</v>
      </c>
      <c r="P334">
        <v>58</v>
      </c>
      <c r="Q334" s="1" t="s">
        <v>670</v>
      </c>
      <c r="R334" s="1" t="s">
        <v>415</v>
      </c>
      <c r="S334" s="1">
        <f t="shared" ca="1" si="5"/>
        <v>0.46214006943147745</v>
      </c>
    </row>
    <row r="335" spans="1:19" x14ac:dyDescent="0.25">
      <c r="A335" s="1" t="s">
        <v>501</v>
      </c>
      <c r="B335" s="1" t="s">
        <v>840</v>
      </c>
      <c r="C335" s="1" t="s">
        <v>870</v>
      </c>
      <c r="D335" s="1" t="s">
        <v>848</v>
      </c>
      <c r="E335" s="1" t="s">
        <v>875</v>
      </c>
      <c r="F335" s="1" t="s">
        <v>501</v>
      </c>
      <c r="G335" s="1" t="s">
        <v>509</v>
      </c>
      <c r="H335" s="1" t="s">
        <v>423</v>
      </c>
      <c r="I335" s="1" t="s">
        <v>265</v>
      </c>
      <c r="J335" s="1" t="s">
        <v>423</v>
      </c>
      <c r="K335">
        <v>5</v>
      </c>
      <c r="L335" s="1" t="s">
        <v>673</v>
      </c>
      <c r="M335">
        <v>10</v>
      </c>
      <c r="N335" s="1" t="s">
        <v>673</v>
      </c>
      <c r="O335" s="1" t="s">
        <v>449</v>
      </c>
      <c r="P335">
        <v>0.12</v>
      </c>
      <c r="Q335" s="1" t="s">
        <v>670</v>
      </c>
      <c r="R335" s="1" t="s">
        <v>423</v>
      </c>
      <c r="S335" s="1">
        <f t="shared" ca="1" si="5"/>
        <v>0.1068174565725849</v>
      </c>
    </row>
    <row r="336" spans="1:19" x14ac:dyDescent="0.25">
      <c r="A336" s="1" t="s">
        <v>501</v>
      </c>
      <c r="B336" s="1" t="s">
        <v>840</v>
      </c>
      <c r="C336" s="1" t="s">
        <v>870</v>
      </c>
      <c r="D336" s="1" t="s">
        <v>851</v>
      </c>
      <c r="E336" s="1" t="s">
        <v>876</v>
      </c>
      <c r="F336" s="1" t="s">
        <v>501</v>
      </c>
      <c r="G336" s="1" t="s">
        <v>509</v>
      </c>
      <c r="H336" s="1" t="s">
        <v>423</v>
      </c>
      <c r="I336" s="1" t="s">
        <v>265</v>
      </c>
      <c r="J336" s="1" t="s">
        <v>423</v>
      </c>
      <c r="K336">
        <v>10</v>
      </c>
      <c r="L336" s="1" t="s">
        <v>673</v>
      </c>
      <c r="M336">
        <v>30</v>
      </c>
      <c r="N336" s="1" t="s">
        <v>673</v>
      </c>
      <c r="O336" s="1" t="s">
        <v>524</v>
      </c>
      <c r="P336">
        <v>0.24</v>
      </c>
      <c r="Q336" s="1" t="s">
        <v>670</v>
      </c>
      <c r="R336" s="1" t="s">
        <v>423</v>
      </c>
      <c r="S336" s="1">
        <f t="shared" ca="1" si="5"/>
        <v>0.98153543613026195</v>
      </c>
    </row>
    <row r="337" spans="1:19" x14ac:dyDescent="0.25">
      <c r="A337" s="1" t="s">
        <v>501</v>
      </c>
      <c r="B337" s="1" t="s">
        <v>840</v>
      </c>
      <c r="C337" s="1" t="s">
        <v>877</v>
      </c>
      <c r="D337" s="1" t="s">
        <v>878</v>
      </c>
      <c r="E337" s="1" t="s">
        <v>879</v>
      </c>
      <c r="F337" s="1" t="s">
        <v>501</v>
      </c>
      <c r="G337" s="1" t="s">
        <v>265</v>
      </c>
      <c r="H337" s="1" t="s">
        <v>423</v>
      </c>
      <c r="I337" s="1" t="s">
        <v>517</v>
      </c>
      <c r="J337" s="1" t="s">
        <v>431</v>
      </c>
      <c r="K337">
        <v>10</v>
      </c>
      <c r="L337" s="1" t="s">
        <v>668</v>
      </c>
      <c r="M337">
        <v>45</v>
      </c>
      <c r="N337" s="1" t="s">
        <v>668</v>
      </c>
      <c r="O337" s="1" t="s">
        <v>445</v>
      </c>
      <c r="P337">
        <v>0.12</v>
      </c>
      <c r="Q337" s="1" t="s">
        <v>670</v>
      </c>
      <c r="R337" s="1" t="s">
        <v>423</v>
      </c>
      <c r="S337" s="1">
        <f t="shared" ca="1" si="5"/>
        <v>0.87804791471516419</v>
      </c>
    </row>
    <row r="338" spans="1:19" x14ac:dyDescent="0.25">
      <c r="A338" s="1" t="s">
        <v>501</v>
      </c>
      <c r="B338" s="1" t="s">
        <v>840</v>
      </c>
      <c r="C338" s="1" t="s">
        <v>877</v>
      </c>
      <c r="D338" s="1" t="s">
        <v>845</v>
      </c>
      <c r="E338" s="1" t="s">
        <v>880</v>
      </c>
      <c r="F338" s="1" t="s">
        <v>501</v>
      </c>
      <c r="G338" s="1" t="s">
        <v>265</v>
      </c>
      <c r="H338" s="1" t="s">
        <v>423</v>
      </c>
      <c r="I338" s="1" t="s">
        <v>517</v>
      </c>
      <c r="J338" s="1" t="s">
        <v>431</v>
      </c>
      <c r="K338">
        <v>45</v>
      </c>
      <c r="L338" s="1" t="s">
        <v>668</v>
      </c>
      <c r="M338">
        <v>1</v>
      </c>
      <c r="N338" s="1" t="s">
        <v>673</v>
      </c>
      <c r="O338" s="1" t="s">
        <v>493</v>
      </c>
      <c r="P338">
        <v>0.12</v>
      </c>
      <c r="Q338" s="1" t="s">
        <v>670</v>
      </c>
      <c r="R338" s="1" t="s">
        <v>423</v>
      </c>
      <c r="S338" s="1">
        <f t="shared" ca="1" si="5"/>
        <v>6.5601489077798059E-2</v>
      </c>
    </row>
    <row r="339" spans="1:19" x14ac:dyDescent="0.25">
      <c r="A339" s="1" t="s">
        <v>501</v>
      </c>
      <c r="B339" s="1" t="s">
        <v>840</v>
      </c>
      <c r="C339" s="1" t="s">
        <v>877</v>
      </c>
      <c r="D339" s="1" t="s">
        <v>830</v>
      </c>
      <c r="E339" s="1" t="s">
        <v>881</v>
      </c>
      <c r="F339" s="1" t="s">
        <v>501</v>
      </c>
      <c r="G339" s="1" t="s">
        <v>265</v>
      </c>
      <c r="H339" s="1" t="s">
        <v>423</v>
      </c>
      <c r="I339" s="1" t="s">
        <v>517</v>
      </c>
      <c r="J339" s="1" t="s">
        <v>431</v>
      </c>
      <c r="K339">
        <v>1</v>
      </c>
      <c r="L339" s="1" t="s">
        <v>673</v>
      </c>
      <c r="M339">
        <v>5</v>
      </c>
      <c r="N339" s="1" t="s">
        <v>673</v>
      </c>
      <c r="O339" s="1" t="s">
        <v>628</v>
      </c>
      <c r="P339">
        <v>1.2</v>
      </c>
      <c r="Q339" s="1" t="s">
        <v>670</v>
      </c>
      <c r="R339" s="1" t="s">
        <v>423</v>
      </c>
      <c r="S339" s="1">
        <f t="shared" ca="1" si="5"/>
        <v>0.86150149090237893</v>
      </c>
    </row>
    <row r="340" spans="1:19" x14ac:dyDescent="0.25">
      <c r="A340" s="1" t="s">
        <v>501</v>
      </c>
      <c r="B340" s="1" t="s">
        <v>840</v>
      </c>
      <c r="C340" s="1" t="s">
        <v>877</v>
      </c>
      <c r="D340" s="1" t="s">
        <v>848</v>
      </c>
      <c r="E340" s="1" t="s">
        <v>882</v>
      </c>
      <c r="F340" s="1" t="s">
        <v>501</v>
      </c>
      <c r="G340" s="1" t="s">
        <v>265</v>
      </c>
      <c r="H340" s="1" t="s">
        <v>423</v>
      </c>
      <c r="I340" s="1" t="s">
        <v>517</v>
      </c>
      <c r="J340" s="1" t="s">
        <v>431</v>
      </c>
      <c r="K340">
        <v>5</v>
      </c>
      <c r="L340" s="1" t="s">
        <v>673</v>
      </c>
      <c r="M340">
        <v>10</v>
      </c>
      <c r="N340" s="1" t="s">
        <v>673</v>
      </c>
      <c r="O340" s="1" t="s">
        <v>883</v>
      </c>
      <c r="P340">
        <v>5.8</v>
      </c>
      <c r="Q340" s="1" t="s">
        <v>670</v>
      </c>
      <c r="R340" s="1" t="s">
        <v>423</v>
      </c>
      <c r="S340" s="1">
        <f t="shared" ca="1" si="5"/>
        <v>0.40643883366254929</v>
      </c>
    </row>
    <row r="341" spans="1:19" x14ac:dyDescent="0.25">
      <c r="A341" s="1" t="s">
        <v>501</v>
      </c>
      <c r="B341" s="1" t="s">
        <v>840</v>
      </c>
      <c r="C341" s="1" t="s">
        <v>884</v>
      </c>
      <c r="D341" s="1" t="s">
        <v>878</v>
      </c>
      <c r="E341" s="1" t="s">
        <v>879</v>
      </c>
      <c r="F341" s="1" t="s">
        <v>501</v>
      </c>
      <c r="G341" s="1" t="s">
        <v>517</v>
      </c>
      <c r="H341" s="1" t="s">
        <v>431</v>
      </c>
      <c r="I341" s="1" t="s">
        <v>314</v>
      </c>
      <c r="J341" s="1" t="s">
        <v>431</v>
      </c>
      <c r="K341">
        <v>10</v>
      </c>
      <c r="L341" s="1" t="s">
        <v>668</v>
      </c>
      <c r="M341">
        <v>45</v>
      </c>
      <c r="N341" s="1" t="s">
        <v>668</v>
      </c>
      <c r="O341" s="1" t="s">
        <v>445</v>
      </c>
      <c r="P341">
        <v>0.12</v>
      </c>
      <c r="Q341" s="1" t="s">
        <v>670</v>
      </c>
      <c r="R341" s="1" t="s">
        <v>423</v>
      </c>
      <c r="S341" s="1">
        <f t="shared" ca="1" si="5"/>
        <v>0.76609057984579076</v>
      </c>
    </row>
    <row r="342" spans="1:19" x14ac:dyDescent="0.25">
      <c r="A342" s="1" t="s">
        <v>501</v>
      </c>
      <c r="B342" s="1" t="s">
        <v>840</v>
      </c>
      <c r="C342" s="1" t="s">
        <v>884</v>
      </c>
      <c r="D342" s="1" t="s">
        <v>845</v>
      </c>
      <c r="E342" s="1" t="s">
        <v>885</v>
      </c>
      <c r="F342" s="1" t="s">
        <v>501</v>
      </c>
      <c r="G342" s="1" t="s">
        <v>517</v>
      </c>
      <c r="H342" s="1" t="s">
        <v>431</v>
      </c>
      <c r="I342" s="1" t="s">
        <v>314</v>
      </c>
      <c r="J342" s="1" t="s">
        <v>431</v>
      </c>
      <c r="K342">
        <v>45</v>
      </c>
      <c r="L342" s="1" t="s">
        <v>668</v>
      </c>
      <c r="M342">
        <v>1</v>
      </c>
      <c r="N342" s="1" t="s">
        <v>673</v>
      </c>
      <c r="O342" s="1" t="s">
        <v>783</v>
      </c>
      <c r="P342">
        <v>0.13</v>
      </c>
      <c r="Q342" s="1" t="s">
        <v>670</v>
      </c>
      <c r="R342" s="1" t="s">
        <v>423</v>
      </c>
      <c r="S342" s="1">
        <f t="shared" ca="1" si="5"/>
        <v>0.80812316210783852</v>
      </c>
    </row>
    <row r="343" spans="1:19" x14ac:dyDescent="0.25">
      <c r="A343" s="1" t="s">
        <v>501</v>
      </c>
      <c r="B343" s="1" t="s">
        <v>840</v>
      </c>
      <c r="C343" s="1" t="s">
        <v>884</v>
      </c>
      <c r="D343" s="1" t="s">
        <v>830</v>
      </c>
      <c r="E343" s="1" t="s">
        <v>886</v>
      </c>
      <c r="F343" s="1" t="s">
        <v>501</v>
      </c>
      <c r="G343" s="1" t="s">
        <v>517</v>
      </c>
      <c r="H343" s="1" t="s">
        <v>431</v>
      </c>
      <c r="I343" s="1" t="s">
        <v>314</v>
      </c>
      <c r="J343" s="1" t="s">
        <v>431</v>
      </c>
      <c r="K343">
        <v>1</v>
      </c>
      <c r="L343" s="1" t="s">
        <v>673</v>
      </c>
      <c r="M343">
        <v>5</v>
      </c>
      <c r="N343" s="1" t="s">
        <v>673</v>
      </c>
      <c r="O343" s="1" t="s">
        <v>628</v>
      </c>
      <c r="P343">
        <v>1.3</v>
      </c>
      <c r="Q343" s="1" t="s">
        <v>670</v>
      </c>
      <c r="R343" s="1" t="s">
        <v>423</v>
      </c>
      <c r="S343" s="1">
        <f t="shared" ca="1" si="5"/>
        <v>0.8282682939307523</v>
      </c>
    </row>
    <row r="344" spans="1:19" x14ac:dyDescent="0.25">
      <c r="A344" s="1" t="s">
        <v>501</v>
      </c>
      <c r="B344" s="1" t="s">
        <v>840</v>
      </c>
      <c r="C344" s="1" t="s">
        <v>884</v>
      </c>
      <c r="D344" s="1" t="s">
        <v>848</v>
      </c>
      <c r="E344" s="1" t="s">
        <v>882</v>
      </c>
      <c r="F344" s="1" t="s">
        <v>501</v>
      </c>
      <c r="G344" s="1" t="s">
        <v>517</v>
      </c>
      <c r="H344" s="1" t="s">
        <v>431</v>
      </c>
      <c r="I344" s="1" t="s">
        <v>314</v>
      </c>
      <c r="J344" s="1" t="s">
        <v>431</v>
      </c>
      <c r="K344">
        <v>5</v>
      </c>
      <c r="L344" s="1" t="s">
        <v>673</v>
      </c>
      <c r="M344">
        <v>10</v>
      </c>
      <c r="N344" s="1" t="s">
        <v>673</v>
      </c>
      <c r="O344" s="1" t="s">
        <v>883</v>
      </c>
      <c r="P344">
        <v>5.8</v>
      </c>
      <c r="Q344" s="1" t="s">
        <v>670</v>
      </c>
      <c r="R344" s="1" t="s">
        <v>423</v>
      </c>
      <c r="S344" s="1">
        <f t="shared" ca="1" si="5"/>
        <v>0.4526093113542391</v>
      </c>
    </row>
    <row r="345" spans="1:19" x14ac:dyDescent="0.25">
      <c r="A345" s="1" t="s">
        <v>501</v>
      </c>
      <c r="B345" s="1" t="s">
        <v>840</v>
      </c>
      <c r="C345" s="1" t="s">
        <v>887</v>
      </c>
      <c r="D345" s="1" t="s">
        <v>787</v>
      </c>
      <c r="E345" s="1" t="s">
        <v>888</v>
      </c>
      <c r="F345" s="1" t="s">
        <v>501</v>
      </c>
      <c r="G345" s="1" t="s">
        <v>314</v>
      </c>
      <c r="H345" s="1" t="s">
        <v>431</v>
      </c>
      <c r="I345" s="1" t="s">
        <v>194</v>
      </c>
      <c r="J345" s="1" t="s">
        <v>431</v>
      </c>
      <c r="K345">
        <v>45</v>
      </c>
      <c r="L345" s="1" t="s">
        <v>668</v>
      </c>
      <c r="M345">
        <v>100</v>
      </c>
      <c r="N345" s="1" t="s">
        <v>668</v>
      </c>
      <c r="O345" s="1" t="s">
        <v>783</v>
      </c>
      <c r="P345">
        <v>2.4</v>
      </c>
      <c r="Q345" s="1" t="s">
        <v>670</v>
      </c>
      <c r="R345" s="1" t="s">
        <v>423</v>
      </c>
      <c r="S345" s="1">
        <f t="shared" ca="1" si="5"/>
        <v>0.53090091438161513</v>
      </c>
    </row>
    <row r="346" spans="1:19" x14ac:dyDescent="0.25">
      <c r="A346" s="1" t="s">
        <v>501</v>
      </c>
      <c r="B346" s="1" t="s">
        <v>840</v>
      </c>
      <c r="C346" s="1" t="s">
        <v>887</v>
      </c>
      <c r="D346" s="1" t="s">
        <v>889</v>
      </c>
      <c r="E346" s="1" t="s">
        <v>890</v>
      </c>
      <c r="F346" s="1" t="s">
        <v>501</v>
      </c>
      <c r="G346" s="1" t="s">
        <v>314</v>
      </c>
      <c r="H346" s="1" t="s">
        <v>431</v>
      </c>
      <c r="I346" s="1" t="s">
        <v>194</v>
      </c>
      <c r="J346" s="1" t="s">
        <v>431</v>
      </c>
      <c r="K346">
        <v>100</v>
      </c>
      <c r="L346" s="1" t="s">
        <v>668</v>
      </c>
      <c r="M346">
        <v>1</v>
      </c>
      <c r="N346" s="1" t="s">
        <v>673</v>
      </c>
      <c r="O346" s="1" t="s">
        <v>765</v>
      </c>
      <c r="P346">
        <v>2.4</v>
      </c>
      <c r="Q346" s="1" t="s">
        <v>670</v>
      </c>
      <c r="R346" s="1" t="s">
        <v>423</v>
      </c>
      <c r="S346" s="1">
        <f t="shared" ca="1" si="5"/>
        <v>0.91869898568384878</v>
      </c>
    </row>
    <row r="347" spans="1:19" x14ac:dyDescent="0.25">
      <c r="A347" s="1" t="s">
        <v>501</v>
      </c>
      <c r="B347" s="1" t="s">
        <v>840</v>
      </c>
      <c r="C347" s="1" t="s">
        <v>887</v>
      </c>
      <c r="D347" s="1" t="s">
        <v>830</v>
      </c>
      <c r="E347" s="1" t="s">
        <v>891</v>
      </c>
      <c r="F347" s="1" t="s">
        <v>501</v>
      </c>
      <c r="G347" s="1" t="s">
        <v>314</v>
      </c>
      <c r="H347" s="1" t="s">
        <v>431</v>
      </c>
      <c r="I347" s="1" t="s">
        <v>194</v>
      </c>
      <c r="J347" s="1" t="s">
        <v>431</v>
      </c>
      <c r="K347">
        <v>1</v>
      </c>
      <c r="L347" s="1" t="s">
        <v>673</v>
      </c>
      <c r="M347">
        <v>5</v>
      </c>
      <c r="N347" s="1" t="s">
        <v>673</v>
      </c>
      <c r="O347" s="1" t="s">
        <v>39</v>
      </c>
      <c r="P347">
        <v>2.4</v>
      </c>
      <c r="Q347" s="1" t="s">
        <v>670</v>
      </c>
      <c r="R347" s="1" t="s">
        <v>423</v>
      </c>
      <c r="S347" s="1">
        <f t="shared" ca="1" si="5"/>
        <v>0.93024400905375304</v>
      </c>
    </row>
    <row r="348" spans="1:19" x14ac:dyDescent="0.25">
      <c r="A348" s="1" t="s">
        <v>501</v>
      </c>
      <c r="B348" s="1" t="s">
        <v>840</v>
      </c>
      <c r="C348" s="1" t="s">
        <v>892</v>
      </c>
      <c r="D348" s="1" t="s">
        <v>787</v>
      </c>
      <c r="E348" s="1" t="s">
        <v>893</v>
      </c>
      <c r="F348" s="1" t="s">
        <v>501</v>
      </c>
      <c r="G348" s="1" t="s">
        <v>194</v>
      </c>
      <c r="H348" s="1" t="s">
        <v>431</v>
      </c>
      <c r="I348" s="1" t="s">
        <v>894</v>
      </c>
      <c r="J348" s="1" t="s">
        <v>431</v>
      </c>
      <c r="K348">
        <v>45</v>
      </c>
      <c r="L348" s="1" t="s">
        <v>668</v>
      </c>
      <c r="M348">
        <v>100</v>
      </c>
      <c r="N348" s="1" t="s">
        <v>668</v>
      </c>
      <c r="O348" s="1" t="s">
        <v>736</v>
      </c>
      <c r="P348">
        <v>5.8</v>
      </c>
      <c r="Q348" s="1" t="s">
        <v>670</v>
      </c>
      <c r="R348" s="1" t="s">
        <v>423</v>
      </c>
      <c r="S348" s="1">
        <f t="shared" ca="1" si="5"/>
        <v>0.84136805059343134</v>
      </c>
    </row>
    <row r="349" spans="1:19" x14ac:dyDescent="0.25">
      <c r="A349" s="1" t="s">
        <v>501</v>
      </c>
      <c r="B349" s="1" t="s">
        <v>840</v>
      </c>
      <c r="C349" s="1" t="s">
        <v>892</v>
      </c>
      <c r="D349" s="1" t="s">
        <v>889</v>
      </c>
      <c r="E349" s="1" t="s">
        <v>895</v>
      </c>
      <c r="F349" s="1" t="s">
        <v>501</v>
      </c>
      <c r="G349" s="1" t="s">
        <v>194</v>
      </c>
      <c r="H349" s="1" t="s">
        <v>431</v>
      </c>
      <c r="I349" s="1" t="s">
        <v>894</v>
      </c>
      <c r="J349" s="1" t="s">
        <v>431</v>
      </c>
      <c r="K349">
        <v>100</v>
      </c>
      <c r="L349" s="1" t="s">
        <v>668</v>
      </c>
      <c r="M349">
        <v>1</v>
      </c>
      <c r="N349" s="1" t="s">
        <v>673</v>
      </c>
      <c r="O349" s="1" t="s">
        <v>549</v>
      </c>
      <c r="P349">
        <v>6.5</v>
      </c>
      <c r="Q349" s="1" t="s">
        <v>670</v>
      </c>
      <c r="R349" s="1" t="s">
        <v>423</v>
      </c>
      <c r="S349" s="1">
        <f t="shared" ca="1" si="5"/>
        <v>0.35816259242936088</v>
      </c>
    </row>
    <row r="350" spans="1:19" x14ac:dyDescent="0.25">
      <c r="A350" s="1" t="s">
        <v>501</v>
      </c>
      <c r="B350" s="1" t="s">
        <v>840</v>
      </c>
      <c r="C350" s="1" t="s">
        <v>892</v>
      </c>
      <c r="D350" s="1" t="s">
        <v>830</v>
      </c>
      <c r="E350" s="1" t="s">
        <v>896</v>
      </c>
      <c r="F350" s="1" t="s">
        <v>501</v>
      </c>
      <c r="G350" s="1" t="s">
        <v>194</v>
      </c>
      <c r="H350" s="1" t="s">
        <v>431</v>
      </c>
      <c r="I350" s="1" t="s">
        <v>894</v>
      </c>
      <c r="J350" s="1" t="s">
        <v>431</v>
      </c>
      <c r="K350">
        <v>1</v>
      </c>
      <c r="L350" s="1" t="s">
        <v>673</v>
      </c>
      <c r="M350">
        <v>5</v>
      </c>
      <c r="N350" s="1" t="s">
        <v>673</v>
      </c>
      <c r="O350" s="1" t="s">
        <v>39</v>
      </c>
      <c r="P350">
        <v>5.8</v>
      </c>
      <c r="Q350" s="1" t="s">
        <v>670</v>
      </c>
      <c r="R350" s="1" t="s">
        <v>423</v>
      </c>
      <c r="S350" s="1">
        <f t="shared" ca="1" si="5"/>
        <v>0.48893542344093621</v>
      </c>
    </row>
    <row r="351" spans="1:19" x14ac:dyDescent="0.25">
      <c r="A351" s="1" t="s">
        <v>501</v>
      </c>
      <c r="B351" s="1" t="s">
        <v>840</v>
      </c>
      <c r="C351" s="1" t="s">
        <v>437</v>
      </c>
      <c r="D351" s="1" t="s">
        <v>878</v>
      </c>
      <c r="E351" s="1" t="s">
        <v>897</v>
      </c>
      <c r="F351" s="1" t="s">
        <v>898</v>
      </c>
      <c r="G351" s="1" t="s">
        <v>194</v>
      </c>
      <c r="H351" s="1" t="s">
        <v>431</v>
      </c>
      <c r="I351" s="1" t="s">
        <v>440</v>
      </c>
      <c r="J351" s="1" t="s">
        <v>431</v>
      </c>
      <c r="K351">
        <v>10</v>
      </c>
      <c r="L351" s="1" t="s">
        <v>668</v>
      </c>
      <c r="M351">
        <v>45</v>
      </c>
      <c r="N351" s="1" t="s">
        <v>668</v>
      </c>
      <c r="O351" s="1" t="s">
        <v>506</v>
      </c>
      <c r="P351">
        <v>0.87</v>
      </c>
      <c r="Q351" s="1" t="s">
        <v>670</v>
      </c>
      <c r="R351" s="1" t="s">
        <v>423</v>
      </c>
      <c r="S351" s="1">
        <f t="shared" ca="1" si="5"/>
        <v>0.94920127037211921</v>
      </c>
    </row>
    <row r="352" spans="1:19" x14ac:dyDescent="0.25">
      <c r="A352" s="1" t="s">
        <v>501</v>
      </c>
      <c r="B352" s="1" t="s">
        <v>840</v>
      </c>
      <c r="C352" s="1" t="s">
        <v>437</v>
      </c>
      <c r="D352" s="1" t="s">
        <v>845</v>
      </c>
      <c r="E352" s="1" t="s">
        <v>899</v>
      </c>
      <c r="F352" s="1" t="s">
        <v>898</v>
      </c>
      <c r="G352" s="1" t="s">
        <v>194</v>
      </c>
      <c r="H352" s="1" t="s">
        <v>431</v>
      </c>
      <c r="I352" s="1" t="s">
        <v>440</v>
      </c>
      <c r="J352" s="1" t="s">
        <v>431</v>
      </c>
      <c r="K352">
        <v>45</v>
      </c>
      <c r="L352" s="1" t="s">
        <v>668</v>
      </c>
      <c r="M352">
        <v>1</v>
      </c>
      <c r="N352" s="1" t="s">
        <v>673</v>
      </c>
      <c r="O352" s="1" t="s">
        <v>445</v>
      </c>
      <c r="P352">
        <v>0.9</v>
      </c>
      <c r="Q352" s="1" t="s">
        <v>670</v>
      </c>
      <c r="R352" s="1" t="s">
        <v>423</v>
      </c>
      <c r="S352" s="1">
        <f t="shared" ca="1" si="5"/>
        <v>0.76514961557856964</v>
      </c>
    </row>
    <row r="353" spans="1:19" x14ac:dyDescent="0.25">
      <c r="A353" s="1" t="s">
        <v>501</v>
      </c>
      <c r="B353" s="1" t="s">
        <v>840</v>
      </c>
      <c r="C353" s="1" t="s">
        <v>437</v>
      </c>
      <c r="D353" s="1" t="s">
        <v>830</v>
      </c>
      <c r="E353" s="1" t="s">
        <v>900</v>
      </c>
      <c r="F353" s="1" t="s">
        <v>898</v>
      </c>
      <c r="G353" s="1" t="s">
        <v>194</v>
      </c>
      <c r="H353" s="1" t="s">
        <v>431</v>
      </c>
      <c r="I353" s="1" t="s">
        <v>440</v>
      </c>
      <c r="J353" s="1" t="s">
        <v>431</v>
      </c>
      <c r="K353">
        <v>1</v>
      </c>
      <c r="L353" s="1" t="s">
        <v>673</v>
      </c>
      <c r="M353">
        <v>5</v>
      </c>
      <c r="N353" s="1" t="s">
        <v>673</v>
      </c>
      <c r="O353" s="1" t="s">
        <v>901</v>
      </c>
      <c r="P353">
        <v>12</v>
      </c>
      <c r="Q353" s="1" t="s">
        <v>670</v>
      </c>
      <c r="R353" s="1" t="s">
        <v>423</v>
      </c>
      <c r="S353" s="1">
        <f t="shared" ca="1" si="5"/>
        <v>5.5661560108489772E-2</v>
      </c>
    </row>
    <row r="354" spans="1:19" x14ac:dyDescent="0.25">
      <c r="A354" s="1" t="s">
        <v>501</v>
      </c>
      <c r="B354" s="1" t="s">
        <v>840</v>
      </c>
      <c r="C354" s="1" t="s">
        <v>437</v>
      </c>
      <c r="D354" s="1" t="s">
        <v>848</v>
      </c>
      <c r="E354" s="1" t="s">
        <v>902</v>
      </c>
      <c r="F354" s="1" t="s">
        <v>898</v>
      </c>
      <c r="G354" s="1" t="s">
        <v>194</v>
      </c>
      <c r="H354" s="1" t="s">
        <v>431</v>
      </c>
      <c r="I354" s="1" t="s">
        <v>440</v>
      </c>
      <c r="J354" s="1" t="s">
        <v>431</v>
      </c>
      <c r="K354">
        <v>5</v>
      </c>
      <c r="L354" s="1" t="s">
        <v>673</v>
      </c>
      <c r="M354">
        <v>10</v>
      </c>
      <c r="N354" s="1" t="s">
        <v>673</v>
      </c>
      <c r="O354" s="1" t="s">
        <v>883</v>
      </c>
      <c r="P354">
        <v>58</v>
      </c>
      <c r="Q354" s="1" t="s">
        <v>670</v>
      </c>
      <c r="R354" s="1" t="s">
        <v>423</v>
      </c>
      <c r="S354" s="1">
        <f t="shared" ca="1" si="5"/>
        <v>0.19350487000865779</v>
      </c>
    </row>
    <row r="355" spans="1:19" x14ac:dyDescent="0.25">
      <c r="A355" s="1" t="s">
        <v>501</v>
      </c>
      <c r="B355" s="1" t="s">
        <v>840</v>
      </c>
      <c r="C355" s="1" t="s">
        <v>442</v>
      </c>
      <c r="D355" s="1" t="s">
        <v>787</v>
      </c>
      <c r="E355" s="1" t="s">
        <v>903</v>
      </c>
      <c r="F355" s="1" t="s">
        <v>898</v>
      </c>
      <c r="G355" s="1" t="s">
        <v>440</v>
      </c>
      <c r="H355" s="1" t="s">
        <v>431</v>
      </c>
      <c r="I355" s="1" t="s">
        <v>444</v>
      </c>
      <c r="J355" s="1" t="s">
        <v>431</v>
      </c>
      <c r="K355">
        <v>45</v>
      </c>
      <c r="L355" s="1" t="s">
        <v>668</v>
      </c>
      <c r="M355">
        <v>100</v>
      </c>
      <c r="N355" s="1" t="s">
        <v>668</v>
      </c>
      <c r="O355" s="1" t="s">
        <v>445</v>
      </c>
      <c r="P355">
        <v>12</v>
      </c>
      <c r="Q355" s="1" t="s">
        <v>670</v>
      </c>
      <c r="R355" s="1" t="s">
        <v>423</v>
      </c>
      <c r="S355" s="1">
        <f t="shared" ca="1" si="5"/>
        <v>0.3487427332611911</v>
      </c>
    </row>
    <row r="356" spans="1:19" x14ac:dyDescent="0.25">
      <c r="A356" s="1" t="s">
        <v>501</v>
      </c>
      <c r="B356" s="1" t="s">
        <v>840</v>
      </c>
      <c r="C356" s="1" t="s">
        <v>442</v>
      </c>
      <c r="D356" s="1" t="s">
        <v>889</v>
      </c>
      <c r="E356" s="1" t="s">
        <v>904</v>
      </c>
      <c r="F356" s="1" t="s">
        <v>898</v>
      </c>
      <c r="G356" s="1" t="s">
        <v>440</v>
      </c>
      <c r="H356" s="1" t="s">
        <v>431</v>
      </c>
      <c r="I356" s="1" t="s">
        <v>444</v>
      </c>
      <c r="J356" s="1" t="s">
        <v>431</v>
      </c>
      <c r="K356">
        <v>100</v>
      </c>
      <c r="L356" s="1" t="s">
        <v>668</v>
      </c>
      <c r="M356">
        <v>1</v>
      </c>
      <c r="N356" s="1" t="s">
        <v>673</v>
      </c>
      <c r="O356" s="1" t="s">
        <v>449</v>
      </c>
      <c r="P356">
        <v>15</v>
      </c>
      <c r="Q356" s="1" t="s">
        <v>670</v>
      </c>
      <c r="R356" s="1" t="s">
        <v>423</v>
      </c>
      <c r="S356" s="1">
        <f t="shared" ca="1" si="5"/>
        <v>0.24458975584917431</v>
      </c>
    </row>
    <row r="357" spans="1:19" x14ac:dyDescent="0.25">
      <c r="A357" s="1" t="s">
        <v>501</v>
      </c>
      <c r="B357" s="1" t="s">
        <v>840</v>
      </c>
      <c r="C357" s="1" t="s">
        <v>442</v>
      </c>
      <c r="D357" s="1" t="s">
        <v>830</v>
      </c>
      <c r="E357" s="1" t="s">
        <v>905</v>
      </c>
      <c r="F357" s="1" t="s">
        <v>898</v>
      </c>
      <c r="G357" s="1" t="s">
        <v>440</v>
      </c>
      <c r="H357" s="1" t="s">
        <v>431</v>
      </c>
      <c r="I357" s="1" t="s">
        <v>444</v>
      </c>
      <c r="J357" s="1" t="s">
        <v>431</v>
      </c>
      <c r="K357">
        <v>1</v>
      </c>
      <c r="L357" s="1" t="s">
        <v>673</v>
      </c>
      <c r="M357">
        <v>5</v>
      </c>
      <c r="N357" s="1" t="s">
        <v>673</v>
      </c>
      <c r="O357" s="1" t="s">
        <v>39</v>
      </c>
      <c r="P357">
        <v>24</v>
      </c>
      <c r="Q357" s="1" t="s">
        <v>670</v>
      </c>
      <c r="R357" s="1" t="s">
        <v>423</v>
      </c>
      <c r="S357" s="1">
        <f t="shared" ca="1" si="5"/>
        <v>0.91550846197024904</v>
      </c>
    </row>
    <row r="358" spans="1:19" x14ac:dyDescent="0.25">
      <c r="A358" s="1" t="s">
        <v>501</v>
      </c>
      <c r="B358" s="1" t="s">
        <v>840</v>
      </c>
      <c r="C358" s="1" t="s">
        <v>446</v>
      </c>
      <c r="D358" s="1" t="s">
        <v>787</v>
      </c>
      <c r="E358" s="1" t="s">
        <v>906</v>
      </c>
      <c r="F358" s="1" t="s">
        <v>898</v>
      </c>
      <c r="G358" s="1" t="s">
        <v>444</v>
      </c>
      <c r="H358" s="1" t="s">
        <v>431</v>
      </c>
      <c r="I358" s="1" t="s">
        <v>448</v>
      </c>
      <c r="J358" s="1" t="s">
        <v>431</v>
      </c>
      <c r="K358">
        <v>45</v>
      </c>
      <c r="L358" s="1" t="s">
        <v>668</v>
      </c>
      <c r="M358">
        <v>100</v>
      </c>
      <c r="N358" s="1" t="s">
        <v>668</v>
      </c>
      <c r="O358" s="1" t="s">
        <v>619</v>
      </c>
      <c r="P358">
        <v>42</v>
      </c>
      <c r="Q358" s="1" t="s">
        <v>670</v>
      </c>
      <c r="R358" s="1" t="s">
        <v>423</v>
      </c>
      <c r="S358" s="1">
        <f t="shared" ca="1" si="5"/>
        <v>0.50739857798540833</v>
      </c>
    </row>
    <row r="359" spans="1:19" x14ac:dyDescent="0.25">
      <c r="A359" s="1" t="s">
        <v>501</v>
      </c>
      <c r="B359" s="1" t="s">
        <v>840</v>
      </c>
      <c r="C359" s="1" t="s">
        <v>446</v>
      </c>
      <c r="D359" s="1" t="s">
        <v>889</v>
      </c>
      <c r="E359" s="1" t="s">
        <v>907</v>
      </c>
      <c r="F359" s="1" t="s">
        <v>898</v>
      </c>
      <c r="G359" s="1" t="s">
        <v>444</v>
      </c>
      <c r="H359" s="1" t="s">
        <v>431</v>
      </c>
      <c r="I359" s="1" t="s">
        <v>448</v>
      </c>
      <c r="J359" s="1" t="s">
        <v>431</v>
      </c>
      <c r="K359">
        <v>100</v>
      </c>
      <c r="L359" s="1" t="s">
        <v>668</v>
      </c>
      <c r="M359">
        <v>1</v>
      </c>
      <c r="N359" s="1" t="s">
        <v>673</v>
      </c>
      <c r="O359" s="1" t="s">
        <v>908</v>
      </c>
      <c r="P359">
        <v>49</v>
      </c>
      <c r="Q359" s="1" t="s">
        <v>670</v>
      </c>
      <c r="R359" s="1" t="s">
        <v>423</v>
      </c>
      <c r="S359" s="1">
        <f t="shared" ca="1" si="5"/>
        <v>0.75900712338115228</v>
      </c>
    </row>
    <row r="360" spans="1:19" x14ac:dyDescent="0.25">
      <c r="A360" s="1" t="s">
        <v>501</v>
      </c>
      <c r="B360" s="1" t="s">
        <v>840</v>
      </c>
      <c r="C360" s="1" t="s">
        <v>446</v>
      </c>
      <c r="D360" s="1" t="s">
        <v>830</v>
      </c>
      <c r="E360" s="1" t="s">
        <v>909</v>
      </c>
      <c r="F360" s="1" t="s">
        <v>898</v>
      </c>
      <c r="G360" s="1" t="s">
        <v>444</v>
      </c>
      <c r="H360" s="1" t="s">
        <v>431</v>
      </c>
      <c r="I360" s="1" t="s">
        <v>448</v>
      </c>
      <c r="J360" s="1" t="s">
        <v>431</v>
      </c>
      <c r="K360">
        <v>1</v>
      </c>
      <c r="L360" s="1" t="s">
        <v>673</v>
      </c>
      <c r="M360">
        <v>5</v>
      </c>
      <c r="N360" s="1" t="s">
        <v>673</v>
      </c>
      <c r="O360" s="1" t="s">
        <v>39</v>
      </c>
      <c r="P360">
        <v>58</v>
      </c>
      <c r="Q360" s="1" t="s">
        <v>670</v>
      </c>
      <c r="R360" s="1" t="s">
        <v>423</v>
      </c>
      <c r="S360" s="1">
        <f t="shared" ca="1" si="5"/>
        <v>5.8849480697522161E-2</v>
      </c>
    </row>
    <row r="361" spans="1:19" x14ac:dyDescent="0.25">
      <c r="A361" s="1" t="s">
        <v>501</v>
      </c>
      <c r="B361" s="1" t="s">
        <v>840</v>
      </c>
      <c r="C361" s="1" t="s">
        <v>910</v>
      </c>
      <c r="D361" s="1" t="s">
        <v>911</v>
      </c>
      <c r="E361" s="1" t="s">
        <v>912</v>
      </c>
      <c r="F361" s="1" t="s">
        <v>913</v>
      </c>
      <c r="G361" s="1" t="s">
        <v>370</v>
      </c>
      <c r="H361" s="1" t="s">
        <v>431</v>
      </c>
      <c r="I361" s="1" t="s">
        <v>914</v>
      </c>
      <c r="J361" s="1" t="s">
        <v>431</v>
      </c>
      <c r="K361">
        <v>45</v>
      </c>
      <c r="L361" s="1" t="s">
        <v>915</v>
      </c>
      <c r="M361">
        <v>100</v>
      </c>
      <c r="N361" s="1" t="s">
        <v>915</v>
      </c>
      <c r="O361" s="1" t="s">
        <v>445</v>
      </c>
      <c r="P361">
        <v>24</v>
      </c>
      <c r="Q361" s="1" t="s">
        <v>670</v>
      </c>
      <c r="R361" s="1" t="s">
        <v>423</v>
      </c>
      <c r="S361" s="1">
        <f t="shared" ca="1" si="5"/>
        <v>0.65589147626602007</v>
      </c>
    </row>
    <row r="362" spans="1:19" x14ac:dyDescent="0.25">
      <c r="A362" s="1" t="s">
        <v>501</v>
      </c>
      <c r="B362" s="1" t="s">
        <v>840</v>
      </c>
      <c r="C362" s="1" t="s">
        <v>910</v>
      </c>
      <c r="D362" s="1" t="s">
        <v>889</v>
      </c>
      <c r="E362" s="1" t="s">
        <v>916</v>
      </c>
      <c r="F362" s="1" t="s">
        <v>913</v>
      </c>
      <c r="G362" s="1" t="s">
        <v>370</v>
      </c>
      <c r="H362" s="1" t="s">
        <v>431</v>
      </c>
      <c r="I362" s="1" t="s">
        <v>914</v>
      </c>
      <c r="J362" s="1" t="s">
        <v>431</v>
      </c>
      <c r="K362">
        <v>100</v>
      </c>
      <c r="L362" s="1" t="s">
        <v>668</v>
      </c>
      <c r="M362">
        <v>1</v>
      </c>
      <c r="N362" s="1" t="s">
        <v>673</v>
      </c>
      <c r="O362" s="1" t="s">
        <v>449</v>
      </c>
      <c r="P362">
        <v>30</v>
      </c>
      <c r="Q362" s="1" t="s">
        <v>670</v>
      </c>
      <c r="R362" s="1" t="s">
        <v>423</v>
      </c>
      <c r="S362" s="1">
        <f t="shared" ca="1" si="5"/>
        <v>0.84483490453074694</v>
      </c>
    </row>
    <row r="363" spans="1:19" x14ac:dyDescent="0.25">
      <c r="A363" s="1" t="s">
        <v>501</v>
      </c>
      <c r="B363" s="1" t="s">
        <v>840</v>
      </c>
      <c r="C363" s="1" t="s">
        <v>910</v>
      </c>
      <c r="D363" s="1" t="s">
        <v>830</v>
      </c>
      <c r="E363" s="1" t="s">
        <v>917</v>
      </c>
      <c r="F363" s="1" t="s">
        <v>913</v>
      </c>
      <c r="G363" s="1" t="s">
        <v>370</v>
      </c>
      <c r="H363" s="1" t="s">
        <v>431</v>
      </c>
      <c r="I363" s="1" t="s">
        <v>914</v>
      </c>
      <c r="J363" s="1" t="s">
        <v>431</v>
      </c>
      <c r="K363">
        <v>1</v>
      </c>
      <c r="L363" s="1" t="s">
        <v>673</v>
      </c>
      <c r="M363">
        <v>5</v>
      </c>
      <c r="N363" s="1" t="s">
        <v>673</v>
      </c>
      <c r="O363" s="1" t="s">
        <v>39</v>
      </c>
      <c r="P363">
        <v>47</v>
      </c>
      <c r="Q363" s="1" t="s">
        <v>670</v>
      </c>
      <c r="R363" s="1" t="s">
        <v>423</v>
      </c>
      <c r="S363" s="1">
        <f t="shared" ca="1" si="5"/>
        <v>0.92219878966678948</v>
      </c>
    </row>
    <row r="364" spans="1:19" x14ac:dyDescent="0.25">
      <c r="A364" s="1" t="s">
        <v>501</v>
      </c>
      <c r="B364" s="1" t="s">
        <v>840</v>
      </c>
      <c r="C364" s="1" t="s">
        <v>918</v>
      </c>
      <c r="D364" s="1" t="s">
        <v>787</v>
      </c>
      <c r="E364" s="1" t="s">
        <v>919</v>
      </c>
      <c r="F364" s="1" t="s">
        <v>913</v>
      </c>
      <c r="G364" s="1" t="s">
        <v>914</v>
      </c>
      <c r="H364" s="1" t="s">
        <v>431</v>
      </c>
      <c r="I364" s="1" t="s">
        <v>920</v>
      </c>
      <c r="J364" s="1" t="s">
        <v>431</v>
      </c>
      <c r="K364">
        <v>45</v>
      </c>
      <c r="L364" s="1" t="s">
        <v>668</v>
      </c>
      <c r="M364">
        <v>100</v>
      </c>
      <c r="N364" s="1" t="s">
        <v>668</v>
      </c>
      <c r="O364" s="1" t="s">
        <v>619</v>
      </c>
      <c r="P364">
        <v>84</v>
      </c>
      <c r="Q364" s="1" t="s">
        <v>670</v>
      </c>
      <c r="R364" s="1" t="s">
        <v>423</v>
      </c>
      <c r="S364" s="1">
        <f t="shared" ca="1" si="5"/>
        <v>0.9230118925666545</v>
      </c>
    </row>
    <row r="365" spans="1:19" x14ac:dyDescent="0.25">
      <c r="A365" s="1" t="s">
        <v>501</v>
      </c>
      <c r="B365" s="1" t="s">
        <v>840</v>
      </c>
      <c r="C365" s="1" t="s">
        <v>918</v>
      </c>
      <c r="D365" s="1" t="s">
        <v>889</v>
      </c>
      <c r="E365" s="1" t="s">
        <v>921</v>
      </c>
      <c r="F365" s="1" t="s">
        <v>913</v>
      </c>
      <c r="G365" s="1" t="s">
        <v>914</v>
      </c>
      <c r="H365" s="1" t="s">
        <v>431</v>
      </c>
      <c r="I365" s="1" t="s">
        <v>920</v>
      </c>
      <c r="J365" s="1" t="s">
        <v>431</v>
      </c>
      <c r="K365">
        <v>100</v>
      </c>
      <c r="L365" s="1" t="s">
        <v>668</v>
      </c>
      <c r="M365">
        <v>1</v>
      </c>
      <c r="N365" s="1" t="s">
        <v>673</v>
      </c>
      <c r="O365" s="1" t="s">
        <v>908</v>
      </c>
      <c r="P365">
        <v>98</v>
      </c>
      <c r="Q365" s="1" t="s">
        <v>670</v>
      </c>
      <c r="R365" s="1" t="s">
        <v>423</v>
      </c>
      <c r="S365" s="1">
        <f t="shared" ca="1" si="5"/>
        <v>3.6374042069407864E-2</v>
      </c>
    </row>
    <row r="366" spans="1:19" x14ac:dyDescent="0.25">
      <c r="A366" s="1" t="s">
        <v>501</v>
      </c>
      <c r="B366" s="1" t="s">
        <v>840</v>
      </c>
      <c r="C366" s="1" t="s">
        <v>918</v>
      </c>
      <c r="D366" s="1" t="s">
        <v>830</v>
      </c>
      <c r="E366" s="1" t="s">
        <v>922</v>
      </c>
      <c r="F366" s="1" t="s">
        <v>913</v>
      </c>
      <c r="G366" s="1" t="s">
        <v>914</v>
      </c>
      <c r="H366" s="1" t="s">
        <v>431</v>
      </c>
      <c r="I366" s="1" t="s">
        <v>920</v>
      </c>
      <c r="J366" s="1" t="s">
        <v>431</v>
      </c>
      <c r="K366">
        <v>1</v>
      </c>
      <c r="L366" s="1" t="s">
        <v>673</v>
      </c>
      <c r="M366">
        <v>5</v>
      </c>
      <c r="N366" s="1" t="s">
        <v>673</v>
      </c>
      <c r="O366" s="1" t="s">
        <v>39</v>
      </c>
      <c r="P366">
        <v>0.12</v>
      </c>
      <c r="Q366" s="1" t="s">
        <v>670</v>
      </c>
      <c r="R366" s="1" t="s">
        <v>431</v>
      </c>
      <c r="S366" s="1">
        <f t="shared" ca="1" si="5"/>
        <v>0.48070035952461543</v>
      </c>
    </row>
    <row r="367" spans="1:19" x14ac:dyDescent="0.25">
      <c r="A367" s="1" t="s">
        <v>501</v>
      </c>
      <c r="B367" s="1" t="s">
        <v>840</v>
      </c>
      <c r="C367" s="1" t="s">
        <v>454</v>
      </c>
      <c r="D367" s="1" t="s">
        <v>787</v>
      </c>
      <c r="E367" s="1" t="s">
        <v>923</v>
      </c>
      <c r="F367" s="1" t="s">
        <v>924</v>
      </c>
      <c r="G367" s="1" t="s">
        <v>453</v>
      </c>
      <c r="H367" s="1" t="s">
        <v>431</v>
      </c>
      <c r="I367" s="1" t="s">
        <v>456</v>
      </c>
      <c r="J367" s="1" t="s">
        <v>431</v>
      </c>
      <c r="K367">
        <v>45</v>
      </c>
      <c r="L367" s="1" t="s">
        <v>668</v>
      </c>
      <c r="M367">
        <v>100</v>
      </c>
      <c r="N367" s="1" t="s">
        <v>668</v>
      </c>
      <c r="O367" s="1" t="s">
        <v>445</v>
      </c>
      <c r="P367">
        <v>59</v>
      </c>
      <c r="Q367" s="1" t="s">
        <v>670</v>
      </c>
      <c r="R367" s="1" t="s">
        <v>423</v>
      </c>
      <c r="S367" s="1">
        <f t="shared" ca="1" si="5"/>
        <v>0.54371509899623294</v>
      </c>
    </row>
    <row r="368" spans="1:19" x14ac:dyDescent="0.25">
      <c r="A368" s="1" t="s">
        <v>501</v>
      </c>
      <c r="B368" s="1" t="s">
        <v>840</v>
      </c>
      <c r="C368" s="1" t="s">
        <v>454</v>
      </c>
      <c r="D368" s="1" t="s">
        <v>889</v>
      </c>
      <c r="E368" s="1" t="s">
        <v>925</v>
      </c>
      <c r="F368" s="1" t="s">
        <v>924</v>
      </c>
      <c r="G368" s="1" t="s">
        <v>453</v>
      </c>
      <c r="H368" s="1" t="s">
        <v>431</v>
      </c>
      <c r="I368" s="1" t="s">
        <v>456</v>
      </c>
      <c r="J368" s="1" t="s">
        <v>431</v>
      </c>
      <c r="K368">
        <v>100</v>
      </c>
      <c r="L368" s="1" t="s">
        <v>668</v>
      </c>
      <c r="M368">
        <v>1</v>
      </c>
      <c r="N368" s="1" t="s">
        <v>673</v>
      </c>
      <c r="O368" s="1" t="s">
        <v>449</v>
      </c>
      <c r="P368">
        <v>74</v>
      </c>
      <c r="Q368" s="1" t="s">
        <v>670</v>
      </c>
      <c r="R368" s="1" t="s">
        <v>423</v>
      </c>
      <c r="S368" s="1">
        <f t="shared" ca="1" si="5"/>
        <v>0.91512377163061753</v>
      </c>
    </row>
    <row r="369" spans="1:19" x14ac:dyDescent="0.25">
      <c r="A369" s="1" t="s">
        <v>501</v>
      </c>
      <c r="B369" s="1" t="s">
        <v>840</v>
      </c>
      <c r="C369" s="1" t="s">
        <v>454</v>
      </c>
      <c r="D369" s="1" t="s">
        <v>830</v>
      </c>
      <c r="E369" s="1" t="s">
        <v>922</v>
      </c>
      <c r="F369" s="1" t="s">
        <v>924</v>
      </c>
      <c r="G369" s="1" t="s">
        <v>453</v>
      </c>
      <c r="H369" s="1" t="s">
        <v>431</v>
      </c>
      <c r="I369" s="1" t="s">
        <v>456</v>
      </c>
      <c r="J369" s="1" t="s">
        <v>431</v>
      </c>
      <c r="K369">
        <v>1</v>
      </c>
      <c r="L369" s="1" t="s">
        <v>673</v>
      </c>
      <c r="M369">
        <v>5</v>
      </c>
      <c r="N369" s="1" t="s">
        <v>673</v>
      </c>
      <c r="O369" s="1" t="s">
        <v>39</v>
      </c>
      <c r="P369">
        <v>0.12</v>
      </c>
      <c r="Q369" s="1" t="s">
        <v>670</v>
      </c>
      <c r="R369" s="1" t="s">
        <v>431</v>
      </c>
      <c r="S369" s="1">
        <f t="shared" ca="1" si="5"/>
        <v>0.14185918003821874</v>
      </c>
    </row>
    <row r="370" spans="1:19" x14ac:dyDescent="0.25">
      <c r="A370" s="1" t="s">
        <v>501</v>
      </c>
      <c r="B370" s="1" t="s">
        <v>840</v>
      </c>
      <c r="C370" s="1" t="s">
        <v>926</v>
      </c>
      <c r="D370" s="1" t="s">
        <v>787</v>
      </c>
      <c r="E370" s="1" t="s">
        <v>927</v>
      </c>
      <c r="F370" s="1" t="s">
        <v>924</v>
      </c>
      <c r="G370" s="1" t="s">
        <v>456</v>
      </c>
      <c r="H370" s="1" t="s">
        <v>431</v>
      </c>
      <c r="I370" s="1" t="s">
        <v>461</v>
      </c>
      <c r="J370" s="1" t="s">
        <v>431</v>
      </c>
      <c r="K370">
        <v>45</v>
      </c>
      <c r="L370" s="1" t="s">
        <v>668</v>
      </c>
      <c r="M370">
        <v>100</v>
      </c>
      <c r="N370" s="1" t="s">
        <v>668</v>
      </c>
      <c r="O370" s="1" t="s">
        <v>619</v>
      </c>
      <c r="P370">
        <v>0.21</v>
      </c>
      <c r="Q370" s="1" t="s">
        <v>670</v>
      </c>
      <c r="R370" s="1" t="s">
        <v>431</v>
      </c>
      <c r="S370" s="1">
        <f t="shared" ca="1" si="5"/>
        <v>0.37946549290754905</v>
      </c>
    </row>
    <row r="371" spans="1:19" x14ac:dyDescent="0.25">
      <c r="A371" s="1" t="s">
        <v>501</v>
      </c>
      <c r="B371" s="1" t="s">
        <v>840</v>
      </c>
      <c r="C371" s="1" t="s">
        <v>926</v>
      </c>
      <c r="D371" s="1" t="s">
        <v>889</v>
      </c>
      <c r="E371" s="1" t="s">
        <v>928</v>
      </c>
      <c r="F371" s="1" t="s">
        <v>924</v>
      </c>
      <c r="G371" s="1" t="s">
        <v>456</v>
      </c>
      <c r="H371" s="1" t="s">
        <v>431</v>
      </c>
      <c r="I371" s="1" t="s">
        <v>461</v>
      </c>
      <c r="J371" s="1" t="s">
        <v>431</v>
      </c>
      <c r="K371">
        <v>100</v>
      </c>
      <c r="L371" s="1" t="s">
        <v>668</v>
      </c>
      <c r="M371">
        <v>1</v>
      </c>
      <c r="N371" s="1" t="s">
        <v>673</v>
      </c>
      <c r="O371" s="1" t="s">
        <v>908</v>
      </c>
      <c r="P371">
        <v>0.25</v>
      </c>
      <c r="Q371" s="1" t="s">
        <v>670</v>
      </c>
      <c r="R371" s="1" t="s">
        <v>431</v>
      </c>
      <c r="S371" s="1">
        <f t="shared" ca="1" si="5"/>
        <v>4.6167230410855686E-2</v>
      </c>
    </row>
    <row r="372" spans="1:19" x14ac:dyDescent="0.25">
      <c r="A372" s="1" t="s">
        <v>501</v>
      </c>
      <c r="B372" s="1" t="s">
        <v>840</v>
      </c>
      <c r="C372" s="1" t="s">
        <v>926</v>
      </c>
      <c r="D372" s="1" t="s">
        <v>830</v>
      </c>
      <c r="E372" s="1" t="s">
        <v>929</v>
      </c>
      <c r="F372" s="1" t="s">
        <v>924</v>
      </c>
      <c r="G372" s="1" t="s">
        <v>456</v>
      </c>
      <c r="H372" s="1" t="s">
        <v>431</v>
      </c>
      <c r="I372" s="1" t="s">
        <v>461</v>
      </c>
      <c r="J372" s="1" t="s">
        <v>431</v>
      </c>
      <c r="K372">
        <v>1</v>
      </c>
      <c r="L372" s="1" t="s">
        <v>673</v>
      </c>
      <c r="M372">
        <v>5</v>
      </c>
      <c r="N372" s="1" t="s">
        <v>673</v>
      </c>
      <c r="O372" s="1" t="s">
        <v>39</v>
      </c>
      <c r="P372">
        <v>0.28999999999999998</v>
      </c>
      <c r="Q372" s="1" t="s">
        <v>670</v>
      </c>
      <c r="R372" s="1" t="s">
        <v>431</v>
      </c>
      <c r="S372" s="1">
        <f t="shared" ca="1" si="5"/>
        <v>0.22765427873982902</v>
      </c>
    </row>
    <row r="373" spans="1:19" x14ac:dyDescent="0.25">
      <c r="A373" s="1" t="s">
        <v>930</v>
      </c>
      <c r="B373" s="1" t="s">
        <v>405</v>
      </c>
      <c r="C373" s="1" t="s">
        <v>931</v>
      </c>
      <c r="D373" s="1" t="s">
        <v>21</v>
      </c>
      <c r="E373" s="1" t="s">
        <v>932</v>
      </c>
      <c r="F373" s="1" t="s">
        <v>501</v>
      </c>
      <c r="G373" s="1" t="s">
        <v>21</v>
      </c>
      <c r="H373" s="1" t="s">
        <v>21</v>
      </c>
      <c r="I373" s="1" t="s">
        <v>933</v>
      </c>
      <c r="J373" s="1" t="s">
        <v>934</v>
      </c>
      <c r="L373" s="1" t="s">
        <v>21</v>
      </c>
      <c r="N373" s="1" t="s">
        <v>21</v>
      </c>
      <c r="O373" s="1" t="s">
        <v>935</v>
      </c>
      <c r="P373">
        <v>0</v>
      </c>
      <c r="Q373" s="1" t="s">
        <v>21</v>
      </c>
      <c r="R373" s="1" t="s">
        <v>338</v>
      </c>
      <c r="S373" s="1">
        <f t="shared" ca="1" si="5"/>
        <v>5.3977144695562806E-2</v>
      </c>
    </row>
    <row r="374" spans="1:19" x14ac:dyDescent="0.25">
      <c r="A374" s="1" t="s">
        <v>930</v>
      </c>
      <c r="B374" s="1" t="s">
        <v>405</v>
      </c>
      <c r="C374" s="1" t="s">
        <v>936</v>
      </c>
      <c r="D374" s="1" t="s">
        <v>21</v>
      </c>
      <c r="E374" s="1" t="s">
        <v>937</v>
      </c>
      <c r="F374" s="1" t="s">
        <v>501</v>
      </c>
      <c r="G374" s="1" t="s">
        <v>938</v>
      </c>
      <c r="H374" s="1" t="s">
        <v>939</v>
      </c>
      <c r="I374" s="1" t="s">
        <v>940</v>
      </c>
      <c r="J374" s="1" t="s">
        <v>939</v>
      </c>
      <c r="L374" s="1" t="s">
        <v>21</v>
      </c>
      <c r="N374" s="1" t="s">
        <v>21</v>
      </c>
      <c r="O374" s="1" t="s">
        <v>657</v>
      </c>
      <c r="P374">
        <v>0</v>
      </c>
      <c r="Q374" s="1" t="s">
        <v>21</v>
      </c>
      <c r="R374" s="1" t="s">
        <v>338</v>
      </c>
      <c r="S374" s="1">
        <f t="shared" ca="1" si="5"/>
        <v>0.53920792129973105</v>
      </c>
    </row>
    <row r="375" spans="1:19" x14ac:dyDescent="0.25">
      <c r="A375" s="1" t="s">
        <v>930</v>
      </c>
      <c r="B375" s="1" t="s">
        <v>405</v>
      </c>
      <c r="C375" s="1" t="s">
        <v>941</v>
      </c>
      <c r="D375" s="1" t="s">
        <v>21</v>
      </c>
      <c r="E375" s="1" t="s">
        <v>942</v>
      </c>
      <c r="F375" s="1" t="s">
        <v>501</v>
      </c>
      <c r="G375" s="1" t="s">
        <v>940</v>
      </c>
      <c r="H375" s="1" t="s">
        <v>939</v>
      </c>
      <c r="I375" s="1" t="s">
        <v>943</v>
      </c>
      <c r="J375" s="1" t="s">
        <v>939</v>
      </c>
      <c r="L375" s="1" t="s">
        <v>21</v>
      </c>
      <c r="N375" s="1" t="s">
        <v>21</v>
      </c>
      <c r="O375" s="1" t="s">
        <v>944</v>
      </c>
      <c r="P375">
        <v>0</v>
      </c>
      <c r="Q375" s="1" t="s">
        <v>21</v>
      </c>
      <c r="R375" s="1" t="s">
        <v>338</v>
      </c>
      <c r="S375" s="1">
        <f t="shared" ca="1" si="5"/>
        <v>0.16395959039692343</v>
      </c>
    </row>
    <row r="376" spans="1:19" x14ac:dyDescent="0.25">
      <c r="A376" s="1" t="s">
        <v>930</v>
      </c>
      <c r="B376" s="1" t="s">
        <v>405</v>
      </c>
      <c r="C376" s="1" t="s">
        <v>945</v>
      </c>
      <c r="D376" s="1" t="s">
        <v>21</v>
      </c>
      <c r="E376" s="1" t="s">
        <v>946</v>
      </c>
      <c r="F376" s="1" t="s">
        <v>501</v>
      </c>
      <c r="G376" s="1" t="s">
        <v>943</v>
      </c>
      <c r="H376" s="1" t="s">
        <v>939</v>
      </c>
      <c r="I376" s="1" t="s">
        <v>933</v>
      </c>
      <c r="J376" s="1" t="s">
        <v>939</v>
      </c>
      <c r="L376" s="1" t="s">
        <v>21</v>
      </c>
      <c r="N376" s="1" t="s">
        <v>21</v>
      </c>
      <c r="O376" s="1" t="s">
        <v>947</v>
      </c>
      <c r="P376">
        <v>0</v>
      </c>
      <c r="Q376" s="1" t="s">
        <v>21</v>
      </c>
      <c r="R376" s="1" t="s">
        <v>338</v>
      </c>
      <c r="S376" s="1">
        <f t="shared" ca="1" si="5"/>
        <v>0.42555956781839721</v>
      </c>
    </row>
    <row r="377" spans="1:19" x14ac:dyDescent="0.25">
      <c r="A377" s="1" t="s">
        <v>930</v>
      </c>
      <c r="B377" s="1" t="s">
        <v>405</v>
      </c>
      <c r="C377" s="1" t="s">
        <v>948</v>
      </c>
      <c r="D377" s="1" t="s">
        <v>21</v>
      </c>
      <c r="E377" s="1" t="s">
        <v>949</v>
      </c>
      <c r="F377" s="1" t="s">
        <v>501</v>
      </c>
      <c r="G377" s="1" t="s">
        <v>938</v>
      </c>
      <c r="H377" s="1" t="s">
        <v>950</v>
      </c>
      <c r="I377" s="1" t="s">
        <v>940</v>
      </c>
      <c r="J377" s="1" t="s">
        <v>950</v>
      </c>
      <c r="L377" s="1" t="s">
        <v>21</v>
      </c>
      <c r="N377" s="1" t="s">
        <v>21</v>
      </c>
      <c r="O377" s="1" t="s">
        <v>343</v>
      </c>
      <c r="P377">
        <v>0</v>
      </c>
      <c r="Q377" s="1" t="s">
        <v>21</v>
      </c>
      <c r="R377" s="1" t="s">
        <v>338</v>
      </c>
      <c r="S377" s="1">
        <f t="shared" ca="1" si="5"/>
        <v>0.39374235597771667</v>
      </c>
    </row>
    <row r="378" spans="1:19" x14ac:dyDescent="0.25">
      <c r="A378" s="1" t="s">
        <v>930</v>
      </c>
      <c r="B378" s="1" t="s">
        <v>405</v>
      </c>
      <c r="C378" s="1" t="s">
        <v>951</v>
      </c>
      <c r="D378" s="1" t="s">
        <v>21</v>
      </c>
      <c r="E378" s="1" t="s">
        <v>949</v>
      </c>
      <c r="F378" s="1" t="s">
        <v>501</v>
      </c>
      <c r="G378" s="1" t="s">
        <v>940</v>
      </c>
      <c r="H378" s="1" t="s">
        <v>950</v>
      </c>
      <c r="I378" s="1" t="s">
        <v>943</v>
      </c>
      <c r="J378" s="1" t="s">
        <v>950</v>
      </c>
      <c r="L378" s="1" t="s">
        <v>21</v>
      </c>
      <c r="N378" s="1" t="s">
        <v>21</v>
      </c>
      <c r="O378" s="1" t="s">
        <v>343</v>
      </c>
      <c r="P378">
        <v>0</v>
      </c>
      <c r="Q378" s="1" t="s">
        <v>21</v>
      </c>
      <c r="R378" s="1" t="s">
        <v>338</v>
      </c>
      <c r="S378" s="1">
        <f t="shared" ca="1" si="5"/>
        <v>0.96692322826729771</v>
      </c>
    </row>
    <row r="379" spans="1:19" x14ac:dyDescent="0.25">
      <c r="A379" s="1" t="s">
        <v>930</v>
      </c>
      <c r="B379" s="1" t="s">
        <v>405</v>
      </c>
      <c r="C379" s="1" t="s">
        <v>952</v>
      </c>
      <c r="D379" s="1" t="s">
        <v>21</v>
      </c>
      <c r="E379" s="1" t="s">
        <v>949</v>
      </c>
      <c r="F379" s="1" t="s">
        <v>501</v>
      </c>
      <c r="G379" s="1" t="s">
        <v>943</v>
      </c>
      <c r="H379" s="1" t="s">
        <v>950</v>
      </c>
      <c r="I379" s="1" t="s">
        <v>933</v>
      </c>
      <c r="J379" s="1" t="s">
        <v>950</v>
      </c>
      <c r="L379" s="1" t="s">
        <v>21</v>
      </c>
      <c r="N379" s="1" t="s">
        <v>21</v>
      </c>
      <c r="O379" s="1" t="s">
        <v>343</v>
      </c>
      <c r="P379">
        <v>0</v>
      </c>
      <c r="Q379" s="1" t="s">
        <v>21</v>
      </c>
      <c r="R379" s="1" t="s">
        <v>338</v>
      </c>
      <c r="S379" s="1">
        <f t="shared" ca="1" si="5"/>
        <v>0.27948527748834895</v>
      </c>
    </row>
    <row r="380" spans="1:19" x14ac:dyDescent="0.25">
      <c r="A380" s="1" t="s">
        <v>930</v>
      </c>
      <c r="B380" s="1" t="s">
        <v>405</v>
      </c>
      <c r="C380" s="1" t="s">
        <v>953</v>
      </c>
      <c r="D380" s="1" t="s">
        <v>21</v>
      </c>
      <c r="E380" s="1" t="s">
        <v>954</v>
      </c>
      <c r="F380" s="1" t="s">
        <v>501</v>
      </c>
      <c r="G380" s="1" t="s">
        <v>933</v>
      </c>
      <c r="H380" s="1" t="s">
        <v>950</v>
      </c>
      <c r="I380" s="1" t="s">
        <v>265</v>
      </c>
      <c r="J380" s="1" t="s">
        <v>950</v>
      </c>
      <c r="L380" s="1" t="s">
        <v>21</v>
      </c>
      <c r="N380" s="1" t="s">
        <v>21</v>
      </c>
      <c r="O380" s="1" t="s">
        <v>955</v>
      </c>
      <c r="P380">
        <v>0</v>
      </c>
      <c r="Q380" s="1" t="s">
        <v>21</v>
      </c>
      <c r="R380" s="1" t="s">
        <v>338</v>
      </c>
      <c r="S380" s="1">
        <f t="shared" ca="1" si="5"/>
        <v>0.17891915520229651</v>
      </c>
    </row>
    <row r="381" spans="1:19" x14ac:dyDescent="0.25">
      <c r="A381" s="1" t="s">
        <v>930</v>
      </c>
      <c r="B381" s="1" t="s">
        <v>405</v>
      </c>
      <c r="C381" s="1" t="s">
        <v>956</v>
      </c>
      <c r="D381" s="1" t="s">
        <v>21</v>
      </c>
      <c r="E381" s="1" t="s">
        <v>957</v>
      </c>
      <c r="F381" s="1" t="s">
        <v>501</v>
      </c>
      <c r="G381" s="1" t="s">
        <v>515</v>
      </c>
      <c r="H381" s="1" t="s">
        <v>958</v>
      </c>
      <c r="I381" s="1" t="s">
        <v>314</v>
      </c>
      <c r="J381" s="1" t="s">
        <v>958</v>
      </c>
      <c r="L381" s="1" t="s">
        <v>21</v>
      </c>
      <c r="N381" s="1" t="s">
        <v>21</v>
      </c>
      <c r="O381" s="1" t="s">
        <v>959</v>
      </c>
      <c r="P381">
        <v>0</v>
      </c>
      <c r="Q381" s="1" t="s">
        <v>21</v>
      </c>
      <c r="R381" s="1" t="s">
        <v>338</v>
      </c>
      <c r="S381" s="1">
        <f t="shared" ca="1" si="5"/>
        <v>0.62464599181741087</v>
      </c>
    </row>
    <row r="382" spans="1:19" x14ac:dyDescent="0.25">
      <c r="A382" s="1" t="s">
        <v>930</v>
      </c>
      <c r="B382" s="1" t="s">
        <v>405</v>
      </c>
      <c r="C382" s="1" t="s">
        <v>960</v>
      </c>
      <c r="D382" s="1" t="s">
        <v>21</v>
      </c>
      <c r="E382" s="1" t="s">
        <v>961</v>
      </c>
      <c r="F382" s="1" t="s">
        <v>501</v>
      </c>
      <c r="G382" s="1" t="s">
        <v>314</v>
      </c>
      <c r="H382" s="1" t="s">
        <v>958</v>
      </c>
      <c r="I382" s="1" t="s">
        <v>194</v>
      </c>
      <c r="J382" s="1" t="s">
        <v>958</v>
      </c>
      <c r="L382" s="1" t="s">
        <v>21</v>
      </c>
      <c r="N382" s="1" t="s">
        <v>21</v>
      </c>
      <c r="O382" s="1" t="s">
        <v>696</v>
      </c>
      <c r="P382">
        <v>0</v>
      </c>
      <c r="Q382" s="1" t="s">
        <v>21</v>
      </c>
      <c r="R382" s="1" t="s">
        <v>338</v>
      </c>
      <c r="S382" s="1">
        <f t="shared" ca="1" si="5"/>
        <v>0.50240587939868897</v>
      </c>
    </row>
    <row r="383" spans="1:19" x14ac:dyDescent="0.25">
      <c r="A383" s="1" t="s">
        <v>930</v>
      </c>
      <c r="B383" s="1" t="s">
        <v>405</v>
      </c>
      <c r="C383" s="1" t="s">
        <v>962</v>
      </c>
      <c r="D383" s="1" t="s">
        <v>21</v>
      </c>
      <c r="E383" s="1" t="s">
        <v>963</v>
      </c>
      <c r="F383" s="1" t="s">
        <v>501</v>
      </c>
      <c r="G383" s="1" t="s">
        <v>194</v>
      </c>
      <c r="H383" s="1" t="s">
        <v>958</v>
      </c>
      <c r="I383" s="1" t="s">
        <v>894</v>
      </c>
      <c r="J383" s="1" t="s">
        <v>958</v>
      </c>
      <c r="L383" s="1" t="s">
        <v>21</v>
      </c>
      <c r="N383" s="1" t="s">
        <v>21</v>
      </c>
      <c r="O383" s="1" t="s">
        <v>736</v>
      </c>
      <c r="P383">
        <v>0</v>
      </c>
      <c r="Q383" s="1" t="s">
        <v>21</v>
      </c>
      <c r="R383" s="1" t="s">
        <v>338</v>
      </c>
      <c r="S383" s="1">
        <f t="shared" ca="1" si="5"/>
        <v>0.78096866390709396</v>
      </c>
    </row>
    <row r="384" spans="1:19" x14ac:dyDescent="0.25">
      <c r="A384" s="1" t="s">
        <v>930</v>
      </c>
      <c r="B384" s="1" t="s">
        <v>405</v>
      </c>
      <c r="C384" s="1" t="s">
        <v>964</v>
      </c>
      <c r="D384" s="1" t="s">
        <v>21</v>
      </c>
      <c r="E384" s="1" t="s">
        <v>965</v>
      </c>
      <c r="F384" s="1" t="s">
        <v>898</v>
      </c>
      <c r="G384" s="1" t="s">
        <v>176</v>
      </c>
      <c r="H384" s="1" t="s">
        <v>958</v>
      </c>
      <c r="I384" s="1" t="s">
        <v>440</v>
      </c>
      <c r="J384" s="1" t="s">
        <v>958</v>
      </c>
      <c r="L384" s="1" t="s">
        <v>21</v>
      </c>
      <c r="N384" s="1" t="s">
        <v>21</v>
      </c>
      <c r="O384" s="1" t="s">
        <v>445</v>
      </c>
      <c r="P384">
        <v>0</v>
      </c>
      <c r="Q384" s="1" t="s">
        <v>21</v>
      </c>
      <c r="R384" s="1" t="s">
        <v>338</v>
      </c>
      <c r="S384" s="1">
        <f t="shared" ca="1" si="5"/>
        <v>0.28867192838965738</v>
      </c>
    </row>
    <row r="385" spans="1:19" x14ac:dyDescent="0.25">
      <c r="A385" s="1" t="s">
        <v>930</v>
      </c>
      <c r="B385" s="1" t="s">
        <v>405</v>
      </c>
      <c r="C385" s="1" t="s">
        <v>966</v>
      </c>
      <c r="D385" s="1" t="s">
        <v>21</v>
      </c>
      <c r="E385" s="1" t="s">
        <v>967</v>
      </c>
      <c r="F385" s="1" t="s">
        <v>898</v>
      </c>
      <c r="G385" s="1" t="s">
        <v>440</v>
      </c>
      <c r="H385" s="1" t="s">
        <v>958</v>
      </c>
      <c r="I385" s="1" t="s">
        <v>444</v>
      </c>
      <c r="J385" s="1" t="s">
        <v>958</v>
      </c>
      <c r="L385" s="1" t="s">
        <v>21</v>
      </c>
      <c r="N385" s="1" t="s">
        <v>21</v>
      </c>
      <c r="O385" s="1" t="s">
        <v>457</v>
      </c>
      <c r="P385">
        <v>0</v>
      </c>
      <c r="Q385" s="1" t="s">
        <v>21</v>
      </c>
      <c r="R385" s="1" t="s">
        <v>338</v>
      </c>
      <c r="S385" s="1">
        <f t="shared" ca="1" si="5"/>
        <v>0.17078963590683949</v>
      </c>
    </row>
    <row r="386" spans="1:19" x14ac:dyDescent="0.25">
      <c r="A386" s="1" t="s">
        <v>930</v>
      </c>
      <c r="B386" s="1" t="s">
        <v>405</v>
      </c>
      <c r="C386" s="1" t="s">
        <v>968</v>
      </c>
      <c r="D386" s="1" t="s">
        <v>21</v>
      </c>
      <c r="E386" s="1" t="s">
        <v>969</v>
      </c>
      <c r="F386" s="1" t="s">
        <v>898</v>
      </c>
      <c r="G386" s="1" t="s">
        <v>444</v>
      </c>
      <c r="H386" s="1" t="s">
        <v>958</v>
      </c>
      <c r="I386" s="1" t="s">
        <v>448</v>
      </c>
      <c r="J386" s="1" t="s">
        <v>958</v>
      </c>
      <c r="L386" s="1" t="s">
        <v>21</v>
      </c>
      <c r="N386" s="1" t="s">
        <v>21</v>
      </c>
      <c r="O386" s="1" t="s">
        <v>619</v>
      </c>
      <c r="P386">
        <v>0</v>
      </c>
      <c r="Q386" s="1" t="s">
        <v>21</v>
      </c>
      <c r="R386" s="1" t="s">
        <v>338</v>
      </c>
      <c r="S386" s="1">
        <f t="shared" ref="S386:S449" ca="1" si="6">RAND()</f>
        <v>0.83658463204897449</v>
      </c>
    </row>
    <row r="387" spans="1:19" x14ac:dyDescent="0.25">
      <c r="A387" s="1" t="s">
        <v>930</v>
      </c>
      <c r="B387" s="1" t="s">
        <v>405</v>
      </c>
      <c r="C387" s="1" t="s">
        <v>970</v>
      </c>
      <c r="D387" s="1" t="s">
        <v>21</v>
      </c>
      <c r="E387" s="1" t="s">
        <v>967</v>
      </c>
      <c r="F387" s="1" t="s">
        <v>913</v>
      </c>
      <c r="G387" s="1" t="s">
        <v>370</v>
      </c>
      <c r="H387" s="1" t="s">
        <v>958</v>
      </c>
      <c r="I387" s="1" t="s">
        <v>914</v>
      </c>
      <c r="J387" s="1" t="s">
        <v>958</v>
      </c>
      <c r="L387" s="1" t="s">
        <v>21</v>
      </c>
      <c r="N387" s="1" t="s">
        <v>21</v>
      </c>
      <c r="O387" s="1" t="s">
        <v>457</v>
      </c>
      <c r="P387">
        <v>0</v>
      </c>
      <c r="Q387" s="1" t="s">
        <v>21</v>
      </c>
      <c r="R387" s="1" t="s">
        <v>338</v>
      </c>
      <c r="S387" s="1">
        <f t="shared" ca="1" si="6"/>
        <v>0.36873223810012612</v>
      </c>
    </row>
    <row r="388" spans="1:19" x14ac:dyDescent="0.25">
      <c r="A388" s="1" t="s">
        <v>930</v>
      </c>
      <c r="B388" s="1" t="s">
        <v>405</v>
      </c>
      <c r="C388" s="1" t="s">
        <v>971</v>
      </c>
      <c r="D388" s="1" t="s">
        <v>21</v>
      </c>
      <c r="E388" s="1" t="s">
        <v>969</v>
      </c>
      <c r="F388" s="1" t="s">
        <v>913</v>
      </c>
      <c r="G388" s="1" t="s">
        <v>914</v>
      </c>
      <c r="H388" s="1" t="s">
        <v>958</v>
      </c>
      <c r="I388" s="1" t="s">
        <v>920</v>
      </c>
      <c r="J388" s="1" t="s">
        <v>958</v>
      </c>
      <c r="L388" s="1" t="s">
        <v>21</v>
      </c>
      <c r="N388" s="1" t="s">
        <v>21</v>
      </c>
      <c r="O388" s="1" t="s">
        <v>619</v>
      </c>
      <c r="P388">
        <v>0</v>
      </c>
      <c r="Q388" s="1" t="s">
        <v>21</v>
      </c>
      <c r="R388" s="1" t="s">
        <v>338</v>
      </c>
      <c r="S388" s="1">
        <f t="shared" ca="1" si="6"/>
        <v>0.34964809247685913</v>
      </c>
    </row>
    <row r="389" spans="1:19" x14ac:dyDescent="0.25">
      <c r="A389" s="1" t="s">
        <v>930</v>
      </c>
      <c r="B389" s="1" t="s">
        <v>405</v>
      </c>
      <c r="C389" s="1" t="s">
        <v>972</v>
      </c>
      <c r="D389" s="1" t="s">
        <v>21</v>
      </c>
      <c r="E389" s="1" t="s">
        <v>967</v>
      </c>
      <c r="F389" s="1" t="s">
        <v>973</v>
      </c>
      <c r="G389" s="1" t="s">
        <v>453</v>
      </c>
      <c r="H389" s="1" t="s">
        <v>958</v>
      </c>
      <c r="I389" s="1" t="s">
        <v>456</v>
      </c>
      <c r="J389" s="1" t="s">
        <v>958</v>
      </c>
      <c r="L389" s="1" t="s">
        <v>21</v>
      </c>
      <c r="N389" s="1" t="s">
        <v>21</v>
      </c>
      <c r="O389" s="1" t="s">
        <v>457</v>
      </c>
      <c r="P389">
        <v>0</v>
      </c>
      <c r="Q389" s="1" t="s">
        <v>21</v>
      </c>
      <c r="R389" s="1" t="s">
        <v>338</v>
      </c>
      <c r="S389" s="1">
        <f t="shared" ca="1" si="6"/>
        <v>0.91404513092434936</v>
      </c>
    </row>
    <row r="390" spans="1:19" x14ac:dyDescent="0.25">
      <c r="A390" s="1" t="s">
        <v>930</v>
      </c>
      <c r="B390" s="1" t="s">
        <v>405</v>
      </c>
      <c r="C390" s="1" t="s">
        <v>974</v>
      </c>
      <c r="D390" s="1" t="s">
        <v>21</v>
      </c>
      <c r="E390" s="1" t="s">
        <v>969</v>
      </c>
      <c r="F390" s="1" t="s">
        <v>975</v>
      </c>
      <c r="G390" s="1" t="s">
        <v>456</v>
      </c>
      <c r="H390" s="1" t="s">
        <v>958</v>
      </c>
      <c r="I390" s="1" t="s">
        <v>461</v>
      </c>
      <c r="J390" s="1" t="s">
        <v>958</v>
      </c>
      <c r="L390" s="1" t="s">
        <v>21</v>
      </c>
      <c r="N390" s="1" t="s">
        <v>21</v>
      </c>
      <c r="O390" s="1" t="s">
        <v>619</v>
      </c>
      <c r="P390">
        <v>0</v>
      </c>
      <c r="Q390" s="1" t="s">
        <v>21</v>
      </c>
      <c r="R390" s="1" t="s">
        <v>338</v>
      </c>
      <c r="S390" s="1">
        <f t="shared" ca="1" si="6"/>
        <v>3.1492836144161429E-2</v>
      </c>
    </row>
    <row r="391" spans="1:19" x14ac:dyDescent="0.25">
      <c r="A391" s="1" t="s">
        <v>976</v>
      </c>
      <c r="B391" s="1" t="s">
        <v>405</v>
      </c>
      <c r="C391" s="1" t="s">
        <v>977</v>
      </c>
      <c r="D391" s="1" t="s">
        <v>21</v>
      </c>
      <c r="E391" s="1" t="s">
        <v>978</v>
      </c>
      <c r="F391" s="1" t="s">
        <v>501</v>
      </c>
      <c r="G391" s="1" t="s">
        <v>21</v>
      </c>
      <c r="H391" s="1" t="s">
        <v>21</v>
      </c>
      <c r="I391" s="1" t="s">
        <v>943</v>
      </c>
      <c r="J391" s="1" t="s">
        <v>934</v>
      </c>
      <c r="L391" s="1" t="s">
        <v>21</v>
      </c>
      <c r="N391" s="1" t="s">
        <v>21</v>
      </c>
      <c r="O391" s="1" t="s">
        <v>979</v>
      </c>
      <c r="P391">
        <v>0</v>
      </c>
      <c r="Q391" s="1" t="s">
        <v>21</v>
      </c>
      <c r="R391" s="1" t="s">
        <v>338</v>
      </c>
      <c r="S391" s="1">
        <f t="shared" ca="1" si="6"/>
        <v>0.48856692975250726</v>
      </c>
    </row>
    <row r="392" spans="1:19" x14ac:dyDescent="0.25">
      <c r="A392" s="1" t="s">
        <v>980</v>
      </c>
      <c r="B392" s="1" t="s">
        <v>21</v>
      </c>
      <c r="C392" s="1" t="s">
        <v>981</v>
      </c>
      <c r="D392" s="1" t="s">
        <v>21</v>
      </c>
      <c r="E392" s="1" t="s">
        <v>982</v>
      </c>
      <c r="F392" s="1" t="s">
        <v>501</v>
      </c>
      <c r="G392" s="1" t="s">
        <v>943</v>
      </c>
      <c r="H392" s="1" t="s">
        <v>934</v>
      </c>
      <c r="I392" s="1" t="s">
        <v>933</v>
      </c>
      <c r="J392" s="1" t="s">
        <v>934</v>
      </c>
      <c r="L392" s="1" t="s">
        <v>21</v>
      </c>
      <c r="N392" s="1" t="s">
        <v>21</v>
      </c>
      <c r="O392" s="1" t="s">
        <v>908</v>
      </c>
      <c r="P392">
        <v>0</v>
      </c>
      <c r="Q392" s="1" t="s">
        <v>21</v>
      </c>
      <c r="R392" s="1" t="s">
        <v>338</v>
      </c>
      <c r="S392" s="1">
        <f t="shared" ca="1" si="6"/>
        <v>0.17503630335102049</v>
      </c>
    </row>
    <row r="393" spans="1:19" x14ac:dyDescent="0.25">
      <c r="A393" s="1" t="s">
        <v>980</v>
      </c>
      <c r="B393" s="1" t="s">
        <v>21</v>
      </c>
      <c r="C393" s="1" t="s">
        <v>936</v>
      </c>
      <c r="D393" s="1" t="s">
        <v>21</v>
      </c>
      <c r="E393" s="1" t="s">
        <v>983</v>
      </c>
      <c r="F393" s="1" t="s">
        <v>501</v>
      </c>
      <c r="G393" s="1" t="s">
        <v>938</v>
      </c>
      <c r="H393" s="1" t="s">
        <v>939</v>
      </c>
      <c r="I393" s="1" t="s">
        <v>940</v>
      </c>
      <c r="J393" s="1" t="s">
        <v>939</v>
      </c>
      <c r="L393" s="1" t="s">
        <v>21</v>
      </c>
      <c r="N393" s="1" t="s">
        <v>21</v>
      </c>
      <c r="O393" s="1" t="s">
        <v>549</v>
      </c>
      <c r="P393">
        <v>0</v>
      </c>
      <c r="Q393" s="1" t="s">
        <v>21</v>
      </c>
      <c r="R393" s="1" t="s">
        <v>338</v>
      </c>
      <c r="S393" s="1">
        <f t="shared" ca="1" si="6"/>
        <v>0.16225840242845524</v>
      </c>
    </row>
    <row r="394" spans="1:19" x14ac:dyDescent="0.25">
      <c r="A394" s="1" t="s">
        <v>980</v>
      </c>
      <c r="B394" s="1" t="s">
        <v>21</v>
      </c>
      <c r="C394" s="1" t="s">
        <v>941</v>
      </c>
      <c r="D394" s="1" t="s">
        <v>21</v>
      </c>
      <c r="E394" s="1" t="s">
        <v>984</v>
      </c>
      <c r="F394" s="1" t="s">
        <v>501</v>
      </c>
      <c r="G394" s="1" t="s">
        <v>940</v>
      </c>
      <c r="H394" s="1" t="s">
        <v>939</v>
      </c>
      <c r="I394" s="1" t="s">
        <v>943</v>
      </c>
      <c r="J394" s="1" t="s">
        <v>939</v>
      </c>
      <c r="L394" s="1" t="s">
        <v>21</v>
      </c>
      <c r="N394" s="1" t="s">
        <v>21</v>
      </c>
      <c r="O394" s="1" t="s">
        <v>328</v>
      </c>
      <c r="P394">
        <v>0</v>
      </c>
      <c r="Q394" s="1" t="s">
        <v>21</v>
      </c>
      <c r="R394" s="1" t="s">
        <v>338</v>
      </c>
      <c r="S394" s="1">
        <f t="shared" ca="1" si="6"/>
        <v>6.7219169415557722E-2</v>
      </c>
    </row>
    <row r="395" spans="1:19" x14ac:dyDescent="0.25">
      <c r="A395" s="1" t="s">
        <v>980</v>
      </c>
      <c r="B395" s="1" t="s">
        <v>21</v>
      </c>
      <c r="C395" s="1" t="s">
        <v>945</v>
      </c>
      <c r="D395" s="1" t="s">
        <v>21</v>
      </c>
      <c r="E395" s="1" t="s">
        <v>985</v>
      </c>
      <c r="F395" s="1" t="s">
        <v>501</v>
      </c>
      <c r="G395" s="1" t="s">
        <v>943</v>
      </c>
      <c r="H395" s="1" t="s">
        <v>939</v>
      </c>
      <c r="I395" s="1" t="s">
        <v>933</v>
      </c>
      <c r="J395" s="1" t="s">
        <v>939</v>
      </c>
      <c r="L395" s="1" t="s">
        <v>21</v>
      </c>
      <c r="N395" s="1" t="s">
        <v>21</v>
      </c>
      <c r="O395" s="1" t="s">
        <v>986</v>
      </c>
      <c r="P395">
        <v>0</v>
      </c>
      <c r="Q395" s="1" t="s">
        <v>21</v>
      </c>
      <c r="R395" s="1" t="s">
        <v>338</v>
      </c>
      <c r="S395" s="1">
        <f t="shared" ca="1" si="6"/>
        <v>0.47469323037665412</v>
      </c>
    </row>
    <row r="396" spans="1:19" x14ac:dyDescent="0.25">
      <c r="A396" s="1" t="s">
        <v>980</v>
      </c>
      <c r="B396" s="1" t="s">
        <v>21</v>
      </c>
      <c r="C396" s="1" t="s">
        <v>948</v>
      </c>
      <c r="D396" s="1" t="s">
        <v>21</v>
      </c>
      <c r="E396" s="1" t="s">
        <v>985</v>
      </c>
      <c r="F396" s="1" t="s">
        <v>501</v>
      </c>
      <c r="G396" s="1" t="s">
        <v>938</v>
      </c>
      <c r="H396" s="1" t="s">
        <v>950</v>
      </c>
      <c r="I396" s="1" t="s">
        <v>940</v>
      </c>
      <c r="J396" s="1" t="s">
        <v>950</v>
      </c>
      <c r="L396" s="1" t="s">
        <v>21</v>
      </c>
      <c r="N396" s="1" t="s">
        <v>21</v>
      </c>
      <c r="O396" s="1" t="s">
        <v>986</v>
      </c>
      <c r="P396">
        <v>0</v>
      </c>
      <c r="Q396" s="1" t="s">
        <v>21</v>
      </c>
      <c r="R396" s="1" t="s">
        <v>338</v>
      </c>
      <c r="S396" s="1">
        <f t="shared" ca="1" si="6"/>
        <v>0.13733094669077284</v>
      </c>
    </row>
    <row r="397" spans="1:19" x14ac:dyDescent="0.25">
      <c r="A397" s="1" t="s">
        <v>980</v>
      </c>
      <c r="B397" s="1" t="s">
        <v>21</v>
      </c>
      <c r="C397" s="1" t="s">
        <v>951</v>
      </c>
      <c r="D397" s="1" t="s">
        <v>21</v>
      </c>
      <c r="E397" s="1" t="s">
        <v>984</v>
      </c>
      <c r="F397" s="1" t="s">
        <v>501</v>
      </c>
      <c r="G397" s="1" t="s">
        <v>940</v>
      </c>
      <c r="H397" s="1" t="s">
        <v>950</v>
      </c>
      <c r="I397" s="1" t="s">
        <v>943</v>
      </c>
      <c r="J397" s="1" t="s">
        <v>950</v>
      </c>
      <c r="L397" s="1" t="s">
        <v>21</v>
      </c>
      <c r="N397" s="1" t="s">
        <v>21</v>
      </c>
      <c r="O397" s="1" t="s">
        <v>328</v>
      </c>
      <c r="P397">
        <v>0</v>
      </c>
      <c r="Q397" s="1" t="s">
        <v>21</v>
      </c>
      <c r="R397" s="1" t="s">
        <v>338</v>
      </c>
      <c r="S397" s="1">
        <f t="shared" ca="1" si="6"/>
        <v>0.41723316827489365</v>
      </c>
    </row>
    <row r="398" spans="1:19" x14ac:dyDescent="0.25">
      <c r="A398" s="1" t="s">
        <v>980</v>
      </c>
      <c r="B398" s="1" t="s">
        <v>21</v>
      </c>
      <c r="C398" s="1" t="s">
        <v>952</v>
      </c>
      <c r="D398" s="1" t="s">
        <v>21</v>
      </c>
      <c r="E398" s="1" t="s">
        <v>987</v>
      </c>
      <c r="F398" s="1" t="s">
        <v>501</v>
      </c>
      <c r="G398" s="1" t="s">
        <v>943</v>
      </c>
      <c r="H398" s="1" t="s">
        <v>950</v>
      </c>
      <c r="I398" s="1" t="s">
        <v>933</v>
      </c>
      <c r="J398" s="1" t="s">
        <v>950</v>
      </c>
      <c r="L398" s="1" t="s">
        <v>21</v>
      </c>
      <c r="N398" s="1" t="s">
        <v>21</v>
      </c>
      <c r="O398" s="1" t="s">
        <v>988</v>
      </c>
      <c r="P398">
        <v>0</v>
      </c>
      <c r="Q398" s="1" t="s">
        <v>21</v>
      </c>
      <c r="R398" s="1" t="s">
        <v>338</v>
      </c>
      <c r="S398" s="1">
        <f t="shared" ca="1" si="6"/>
        <v>0.33408401856665482</v>
      </c>
    </row>
    <row r="399" spans="1:19" x14ac:dyDescent="0.25">
      <c r="A399" s="1" t="s">
        <v>980</v>
      </c>
      <c r="B399" s="1" t="s">
        <v>21</v>
      </c>
      <c r="C399" s="1" t="s">
        <v>989</v>
      </c>
      <c r="D399" s="1" t="s">
        <v>21</v>
      </c>
      <c r="E399" s="1" t="s">
        <v>990</v>
      </c>
      <c r="F399" s="1" t="s">
        <v>501</v>
      </c>
      <c r="G399" s="1" t="s">
        <v>933</v>
      </c>
      <c r="H399" s="1" t="s">
        <v>950</v>
      </c>
      <c r="I399" s="1" t="s">
        <v>991</v>
      </c>
      <c r="J399" s="1" t="s">
        <v>950</v>
      </c>
      <c r="L399" s="1" t="s">
        <v>21</v>
      </c>
      <c r="N399" s="1" t="s">
        <v>21</v>
      </c>
      <c r="O399" s="1" t="s">
        <v>765</v>
      </c>
      <c r="P399">
        <v>0</v>
      </c>
      <c r="Q399" s="1" t="s">
        <v>21</v>
      </c>
      <c r="R399" s="1" t="s">
        <v>338</v>
      </c>
      <c r="S399" s="1">
        <f t="shared" ca="1" si="6"/>
        <v>0.68273686219767027</v>
      </c>
    </row>
    <row r="400" spans="1:19" x14ac:dyDescent="0.25">
      <c r="A400" s="1" t="s">
        <v>980</v>
      </c>
      <c r="B400" s="1" t="s">
        <v>21</v>
      </c>
      <c r="C400" s="1" t="s">
        <v>992</v>
      </c>
      <c r="D400" s="1" t="s">
        <v>21</v>
      </c>
      <c r="E400" s="1" t="s">
        <v>993</v>
      </c>
      <c r="F400" s="1" t="s">
        <v>501</v>
      </c>
      <c r="G400" s="1" t="s">
        <v>991</v>
      </c>
      <c r="H400" s="1" t="s">
        <v>950</v>
      </c>
      <c r="I400" s="1" t="s">
        <v>994</v>
      </c>
      <c r="J400" s="1" t="s">
        <v>950</v>
      </c>
      <c r="L400" s="1" t="s">
        <v>21</v>
      </c>
      <c r="N400" s="1" t="s">
        <v>21</v>
      </c>
      <c r="O400" s="1" t="s">
        <v>118</v>
      </c>
      <c r="P400">
        <v>0</v>
      </c>
      <c r="Q400" s="1" t="s">
        <v>21</v>
      </c>
      <c r="R400" s="1" t="s">
        <v>338</v>
      </c>
      <c r="S400" s="1">
        <f t="shared" ca="1" si="6"/>
        <v>0.24813229938988224</v>
      </c>
    </row>
    <row r="401" spans="1:19" x14ac:dyDescent="0.25">
      <c r="A401" s="1" t="s">
        <v>980</v>
      </c>
      <c r="B401" s="1" t="s">
        <v>21</v>
      </c>
      <c r="C401" s="1" t="s">
        <v>995</v>
      </c>
      <c r="D401" s="1" t="s">
        <v>21</v>
      </c>
      <c r="E401" s="1" t="s">
        <v>965</v>
      </c>
      <c r="F401" s="1" t="s">
        <v>501</v>
      </c>
      <c r="G401" s="1" t="s">
        <v>996</v>
      </c>
      <c r="H401" s="1" t="s">
        <v>958</v>
      </c>
      <c r="I401" s="1" t="s">
        <v>997</v>
      </c>
      <c r="J401" s="1" t="s">
        <v>958</v>
      </c>
      <c r="L401" s="1" t="s">
        <v>21</v>
      </c>
      <c r="N401" s="1" t="s">
        <v>21</v>
      </c>
      <c r="O401" s="1" t="s">
        <v>445</v>
      </c>
      <c r="P401">
        <v>0</v>
      </c>
      <c r="Q401" s="1" t="s">
        <v>21</v>
      </c>
      <c r="R401" s="1" t="s">
        <v>338</v>
      </c>
      <c r="S401" s="1">
        <f t="shared" ca="1" si="6"/>
        <v>0.51839198467402969</v>
      </c>
    </row>
    <row r="402" spans="1:19" x14ac:dyDescent="0.25">
      <c r="A402" s="1" t="s">
        <v>980</v>
      </c>
      <c r="B402" s="1" t="s">
        <v>21</v>
      </c>
      <c r="C402" s="1" t="s">
        <v>998</v>
      </c>
      <c r="D402" s="1" t="s">
        <v>21</v>
      </c>
      <c r="E402" s="1" t="s">
        <v>999</v>
      </c>
      <c r="F402" s="1" t="s">
        <v>501</v>
      </c>
      <c r="G402" s="1" t="s">
        <v>997</v>
      </c>
      <c r="H402" s="1" t="s">
        <v>958</v>
      </c>
      <c r="I402" s="1" t="s">
        <v>1000</v>
      </c>
      <c r="J402" s="1" t="s">
        <v>958</v>
      </c>
      <c r="L402" s="1" t="s">
        <v>21</v>
      </c>
      <c r="N402" s="1" t="s">
        <v>21</v>
      </c>
      <c r="O402" s="1" t="s">
        <v>638</v>
      </c>
      <c r="P402">
        <v>0</v>
      </c>
      <c r="Q402" s="1" t="s">
        <v>21</v>
      </c>
      <c r="R402" s="1" t="s">
        <v>338</v>
      </c>
      <c r="S402" s="1">
        <f t="shared" ca="1" si="6"/>
        <v>0.70696078619780789</v>
      </c>
    </row>
    <row r="403" spans="1:19" x14ac:dyDescent="0.25">
      <c r="A403" s="1" t="s">
        <v>980</v>
      </c>
      <c r="B403" s="1" t="s">
        <v>21</v>
      </c>
      <c r="C403" s="1" t="s">
        <v>1001</v>
      </c>
      <c r="D403" s="1" t="s">
        <v>21</v>
      </c>
      <c r="E403" s="1" t="s">
        <v>1002</v>
      </c>
      <c r="F403" s="1" t="s">
        <v>501</v>
      </c>
      <c r="G403" s="1" t="s">
        <v>1000</v>
      </c>
      <c r="H403" s="1" t="s">
        <v>958</v>
      </c>
      <c r="I403" s="1" t="s">
        <v>1003</v>
      </c>
      <c r="J403" s="1" t="s">
        <v>958</v>
      </c>
      <c r="L403" s="1" t="s">
        <v>21</v>
      </c>
      <c r="N403" s="1" t="s">
        <v>21</v>
      </c>
      <c r="O403" s="1" t="s">
        <v>445</v>
      </c>
      <c r="P403">
        <v>0</v>
      </c>
      <c r="Q403" s="1" t="s">
        <v>21</v>
      </c>
      <c r="R403" s="1" t="s">
        <v>1004</v>
      </c>
      <c r="S403" s="1">
        <f t="shared" ca="1" si="6"/>
        <v>0.42397096021712932</v>
      </c>
    </row>
    <row r="404" spans="1:19" x14ac:dyDescent="0.25">
      <c r="A404" s="1" t="s">
        <v>980</v>
      </c>
      <c r="B404" s="1" t="s">
        <v>21</v>
      </c>
      <c r="C404" s="1" t="s">
        <v>1005</v>
      </c>
      <c r="D404" s="1" t="s">
        <v>21</v>
      </c>
      <c r="E404" s="1" t="s">
        <v>1006</v>
      </c>
      <c r="F404" s="1" t="s">
        <v>898</v>
      </c>
      <c r="G404" s="1" t="s">
        <v>1007</v>
      </c>
      <c r="H404" s="1" t="s">
        <v>958</v>
      </c>
      <c r="I404" s="1" t="s">
        <v>1008</v>
      </c>
      <c r="J404" s="1" t="s">
        <v>958</v>
      </c>
      <c r="L404" s="1" t="s">
        <v>21</v>
      </c>
      <c r="N404" s="1" t="s">
        <v>21</v>
      </c>
      <c r="O404" s="1" t="s">
        <v>908</v>
      </c>
      <c r="P404">
        <v>0</v>
      </c>
      <c r="Q404" s="1" t="s">
        <v>21</v>
      </c>
      <c r="R404" s="1" t="s">
        <v>1004</v>
      </c>
      <c r="S404" s="1">
        <f t="shared" ca="1" si="6"/>
        <v>0.12997053302493133</v>
      </c>
    </row>
    <row r="405" spans="1:19" x14ac:dyDescent="0.25">
      <c r="A405" s="1" t="s">
        <v>980</v>
      </c>
      <c r="B405" s="1" t="s">
        <v>21</v>
      </c>
      <c r="C405" s="1" t="s">
        <v>966</v>
      </c>
      <c r="D405" s="1" t="s">
        <v>21</v>
      </c>
      <c r="E405" s="1" t="s">
        <v>1006</v>
      </c>
      <c r="F405" s="1" t="s">
        <v>898</v>
      </c>
      <c r="G405" s="1" t="s">
        <v>440</v>
      </c>
      <c r="H405" s="1" t="s">
        <v>958</v>
      </c>
      <c r="I405" s="1" t="s">
        <v>444</v>
      </c>
      <c r="J405" s="1" t="s">
        <v>958</v>
      </c>
      <c r="L405" s="1" t="s">
        <v>21</v>
      </c>
      <c r="N405" s="1" t="s">
        <v>21</v>
      </c>
      <c r="O405" s="1" t="s">
        <v>908</v>
      </c>
      <c r="P405">
        <v>0</v>
      </c>
      <c r="Q405" s="1" t="s">
        <v>21</v>
      </c>
      <c r="R405" s="1" t="s">
        <v>1004</v>
      </c>
      <c r="S405" s="1">
        <f t="shared" ca="1" si="6"/>
        <v>0.64314699411037923</v>
      </c>
    </row>
    <row r="406" spans="1:19" x14ac:dyDescent="0.25">
      <c r="A406" s="1" t="s">
        <v>980</v>
      </c>
      <c r="B406" s="1" t="s">
        <v>21</v>
      </c>
      <c r="C406" s="1" t="s">
        <v>968</v>
      </c>
      <c r="D406" s="1" t="s">
        <v>21</v>
      </c>
      <c r="E406" s="1" t="s">
        <v>1009</v>
      </c>
      <c r="F406" s="1" t="s">
        <v>898</v>
      </c>
      <c r="G406" s="1" t="s">
        <v>444</v>
      </c>
      <c r="H406" s="1" t="s">
        <v>958</v>
      </c>
      <c r="I406" s="1" t="s">
        <v>448</v>
      </c>
      <c r="J406" s="1" t="s">
        <v>958</v>
      </c>
      <c r="L406" s="1" t="s">
        <v>21</v>
      </c>
      <c r="N406" s="1" t="s">
        <v>21</v>
      </c>
      <c r="O406" s="1" t="s">
        <v>506</v>
      </c>
      <c r="P406">
        <v>0</v>
      </c>
      <c r="Q406" s="1" t="s">
        <v>21</v>
      </c>
      <c r="R406" s="1" t="s">
        <v>1004</v>
      </c>
      <c r="S406" s="1">
        <f t="shared" ca="1" si="6"/>
        <v>0.21552372832865363</v>
      </c>
    </row>
    <row r="407" spans="1:19" x14ac:dyDescent="0.25">
      <c r="A407" s="1" t="s">
        <v>980</v>
      </c>
      <c r="B407" s="1" t="s">
        <v>21</v>
      </c>
      <c r="C407" s="1" t="s">
        <v>1010</v>
      </c>
      <c r="D407" s="1" t="s">
        <v>21</v>
      </c>
      <c r="E407" s="1" t="s">
        <v>1006</v>
      </c>
      <c r="F407" s="1" t="s">
        <v>913</v>
      </c>
      <c r="G407" s="1" t="s">
        <v>370</v>
      </c>
      <c r="H407" s="1" t="s">
        <v>958</v>
      </c>
      <c r="I407" s="1" t="s">
        <v>914</v>
      </c>
      <c r="J407" s="1" t="s">
        <v>1011</v>
      </c>
      <c r="L407" s="1" t="s">
        <v>21</v>
      </c>
      <c r="N407" s="1" t="s">
        <v>21</v>
      </c>
      <c r="O407" s="1" t="s">
        <v>908</v>
      </c>
      <c r="P407">
        <v>0</v>
      </c>
      <c r="Q407" s="1" t="s">
        <v>21</v>
      </c>
      <c r="R407" s="1" t="s">
        <v>1004</v>
      </c>
      <c r="S407" s="1">
        <f t="shared" ca="1" si="6"/>
        <v>0.66949818465986066</v>
      </c>
    </row>
    <row r="408" spans="1:19" x14ac:dyDescent="0.25">
      <c r="A408" s="1" t="s">
        <v>980</v>
      </c>
      <c r="B408" s="1" t="s">
        <v>21</v>
      </c>
      <c r="C408" s="1" t="s">
        <v>971</v>
      </c>
      <c r="D408" s="1" t="s">
        <v>21</v>
      </c>
      <c r="E408" s="1" t="s">
        <v>1009</v>
      </c>
      <c r="F408" s="1" t="s">
        <v>913</v>
      </c>
      <c r="G408" s="1" t="s">
        <v>914</v>
      </c>
      <c r="H408" s="1" t="s">
        <v>958</v>
      </c>
      <c r="I408" s="1" t="s">
        <v>920</v>
      </c>
      <c r="J408" s="1" t="s">
        <v>958</v>
      </c>
      <c r="L408" s="1" t="s">
        <v>21</v>
      </c>
      <c r="N408" s="1" t="s">
        <v>21</v>
      </c>
      <c r="O408" s="1" t="s">
        <v>506</v>
      </c>
      <c r="P408">
        <v>0</v>
      </c>
      <c r="Q408" s="1" t="s">
        <v>21</v>
      </c>
      <c r="R408" s="1" t="s">
        <v>1004</v>
      </c>
      <c r="S408" s="1">
        <f t="shared" ca="1" si="6"/>
        <v>0.59307127053050301</v>
      </c>
    </row>
    <row r="409" spans="1:19" x14ac:dyDescent="0.25">
      <c r="A409" s="1" t="s">
        <v>980</v>
      </c>
      <c r="B409" s="1" t="s">
        <v>21</v>
      </c>
      <c r="C409" s="1" t="s">
        <v>972</v>
      </c>
      <c r="D409" s="1" t="s">
        <v>21</v>
      </c>
      <c r="E409" s="1" t="s">
        <v>1012</v>
      </c>
      <c r="F409" s="1" t="s">
        <v>973</v>
      </c>
      <c r="G409" s="1" t="s">
        <v>453</v>
      </c>
      <c r="H409" s="1" t="s">
        <v>958</v>
      </c>
      <c r="I409" s="1" t="s">
        <v>456</v>
      </c>
      <c r="J409" s="1" t="s">
        <v>958</v>
      </c>
      <c r="L409" s="1" t="s">
        <v>21</v>
      </c>
      <c r="N409" s="1" t="s">
        <v>21</v>
      </c>
      <c r="O409" s="1" t="s">
        <v>1013</v>
      </c>
      <c r="P409">
        <v>0</v>
      </c>
      <c r="Q409" s="1" t="s">
        <v>21</v>
      </c>
      <c r="R409" s="1" t="s">
        <v>1004</v>
      </c>
      <c r="S409" s="1">
        <f t="shared" ca="1" si="6"/>
        <v>0.92545433625765106</v>
      </c>
    </row>
    <row r="410" spans="1:19" x14ac:dyDescent="0.25">
      <c r="A410" s="1" t="s">
        <v>980</v>
      </c>
      <c r="B410" s="1" t="s">
        <v>21</v>
      </c>
      <c r="C410" s="1" t="s">
        <v>974</v>
      </c>
      <c r="D410" s="1" t="s">
        <v>21</v>
      </c>
      <c r="E410" s="1" t="s">
        <v>1009</v>
      </c>
      <c r="F410" s="1" t="s">
        <v>975</v>
      </c>
      <c r="G410" s="1" t="s">
        <v>456</v>
      </c>
      <c r="H410" s="1" t="s">
        <v>958</v>
      </c>
      <c r="I410" s="1" t="s">
        <v>461</v>
      </c>
      <c r="J410" s="1" t="s">
        <v>958</v>
      </c>
      <c r="L410" s="1" t="s">
        <v>21</v>
      </c>
      <c r="N410" s="1" t="s">
        <v>21</v>
      </c>
      <c r="O410" s="1" t="s">
        <v>506</v>
      </c>
      <c r="P410">
        <v>0</v>
      </c>
      <c r="Q410" s="1" t="s">
        <v>21</v>
      </c>
      <c r="R410" s="1" t="s">
        <v>1004</v>
      </c>
      <c r="S410" s="1">
        <f t="shared" ca="1" si="6"/>
        <v>0.44687128280981803</v>
      </c>
    </row>
    <row r="411" spans="1:19" x14ac:dyDescent="0.25">
      <c r="A411" s="1" t="s">
        <v>1014</v>
      </c>
      <c r="B411" s="1" t="s">
        <v>1015</v>
      </c>
      <c r="C411" s="1" t="s">
        <v>1016</v>
      </c>
      <c r="D411" s="1" t="s">
        <v>21</v>
      </c>
      <c r="E411" s="1" t="s">
        <v>1017</v>
      </c>
      <c r="F411" s="1" t="s">
        <v>501</v>
      </c>
      <c r="G411" s="1" t="s">
        <v>63</v>
      </c>
      <c r="H411" s="1" t="s">
        <v>668</v>
      </c>
      <c r="I411" s="1" t="s">
        <v>1018</v>
      </c>
      <c r="J411" s="1" t="s">
        <v>668</v>
      </c>
      <c r="L411" s="1" t="s">
        <v>21</v>
      </c>
      <c r="N411" s="1" t="s">
        <v>21</v>
      </c>
      <c r="O411" s="1" t="s">
        <v>1019</v>
      </c>
      <c r="P411">
        <v>0</v>
      </c>
      <c r="Q411" s="1" t="s">
        <v>21</v>
      </c>
      <c r="R411" s="1" t="s">
        <v>1020</v>
      </c>
      <c r="S411" s="1">
        <f t="shared" ca="1" si="6"/>
        <v>0.9638672865128084</v>
      </c>
    </row>
    <row r="412" spans="1:19" x14ac:dyDescent="0.25">
      <c r="A412" s="1" t="s">
        <v>1014</v>
      </c>
      <c r="B412" s="1" t="s">
        <v>1015</v>
      </c>
      <c r="C412" s="1" t="s">
        <v>1021</v>
      </c>
      <c r="D412" s="1" t="s">
        <v>21</v>
      </c>
      <c r="E412" s="1" t="s">
        <v>1022</v>
      </c>
      <c r="F412" s="1" t="s">
        <v>501</v>
      </c>
      <c r="G412" s="1" t="s">
        <v>1018</v>
      </c>
      <c r="H412" s="1" t="s">
        <v>668</v>
      </c>
      <c r="I412" s="1" t="s">
        <v>563</v>
      </c>
      <c r="J412" s="1" t="s">
        <v>668</v>
      </c>
      <c r="L412" s="1" t="s">
        <v>21</v>
      </c>
      <c r="N412" s="1" t="s">
        <v>21</v>
      </c>
      <c r="O412" s="1" t="s">
        <v>517</v>
      </c>
      <c r="P412">
        <v>0</v>
      </c>
      <c r="Q412" s="1" t="s">
        <v>21</v>
      </c>
      <c r="R412" s="1" t="s">
        <v>1020</v>
      </c>
      <c r="S412" s="1">
        <f t="shared" ca="1" si="6"/>
        <v>0.16917608965111508</v>
      </c>
    </row>
    <row r="413" spans="1:19" x14ac:dyDescent="0.25">
      <c r="A413" s="1" t="s">
        <v>1014</v>
      </c>
      <c r="B413" s="1" t="s">
        <v>1015</v>
      </c>
      <c r="C413" s="1" t="s">
        <v>1023</v>
      </c>
      <c r="D413" s="1" t="s">
        <v>21</v>
      </c>
      <c r="E413" s="1" t="s">
        <v>1024</v>
      </c>
      <c r="F413" s="1" t="s">
        <v>501</v>
      </c>
      <c r="G413" s="1" t="s">
        <v>563</v>
      </c>
      <c r="H413" s="1" t="s">
        <v>668</v>
      </c>
      <c r="I413" s="1" t="s">
        <v>171</v>
      </c>
      <c r="J413" s="1" t="s">
        <v>673</v>
      </c>
      <c r="L413" s="1" t="s">
        <v>21</v>
      </c>
      <c r="N413" s="1" t="s">
        <v>21</v>
      </c>
      <c r="O413" s="1" t="s">
        <v>1025</v>
      </c>
      <c r="P413">
        <v>0</v>
      </c>
      <c r="Q413" s="1" t="s">
        <v>21</v>
      </c>
      <c r="R413" s="1" t="s">
        <v>1020</v>
      </c>
      <c r="S413" s="1">
        <f t="shared" ca="1" si="6"/>
        <v>7.5765431232779235E-2</v>
      </c>
    </row>
    <row r="414" spans="1:19" x14ac:dyDescent="0.25">
      <c r="A414" s="1" t="s">
        <v>1014</v>
      </c>
      <c r="B414" s="1" t="s">
        <v>1015</v>
      </c>
      <c r="C414" s="1" t="s">
        <v>830</v>
      </c>
      <c r="D414" s="1" t="s">
        <v>21</v>
      </c>
      <c r="E414" s="1" t="s">
        <v>1026</v>
      </c>
      <c r="F414" s="1" t="s">
        <v>501</v>
      </c>
      <c r="G414" s="1" t="s">
        <v>171</v>
      </c>
      <c r="H414" s="1" t="s">
        <v>673</v>
      </c>
      <c r="I414" s="1" t="s">
        <v>204</v>
      </c>
      <c r="J414" s="1" t="s">
        <v>673</v>
      </c>
      <c r="L414" s="1" t="s">
        <v>21</v>
      </c>
      <c r="N414" s="1" t="s">
        <v>21</v>
      </c>
      <c r="O414" s="1" t="s">
        <v>1027</v>
      </c>
      <c r="P414">
        <v>0</v>
      </c>
      <c r="Q414" s="1" t="s">
        <v>21</v>
      </c>
      <c r="R414" s="1" t="s">
        <v>1020</v>
      </c>
      <c r="S414" s="1">
        <f t="shared" ca="1" si="6"/>
        <v>0.82598415456932317</v>
      </c>
    </row>
    <row r="415" spans="1:19" x14ac:dyDescent="0.25">
      <c r="A415" s="1" t="s">
        <v>1014</v>
      </c>
      <c r="B415" s="1" t="s">
        <v>1015</v>
      </c>
      <c r="C415" s="1" t="s">
        <v>848</v>
      </c>
      <c r="D415" s="1" t="s">
        <v>21</v>
      </c>
      <c r="E415" s="1" t="s">
        <v>1028</v>
      </c>
      <c r="F415" s="1" t="s">
        <v>501</v>
      </c>
      <c r="G415" s="1" t="s">
        <v>204</v>
      </c>
      <c r="H415" s="1" t="s">
        <v>673</v>
      </c>
      <c r="I415" s="1" t="s">
        <v>63</v>
      </c>
      <c r="J415" s="1" t="s">
        <v>673</v>
      </c>
      <c r="L415" s="1" t="s">
        <v>21</v>
      </c>
      <c r="N415" s="1" t="s">
        <v>21</v>
      </c>
      <c r="O415" s="1" t="s">
        <v>33</v>
      </c>
      <c r="P415">
        <v>0</v>
      </c>
      <c r="Q415" s="1" t="s">
        <v>21</v>
      </c>
      <c r="R415" s="1" t="s">
        <v>1020</v>
      </c>
      <c r="S415" s="1">
        <f t="shared" ca="1" si="6"/>
        <v>0.88645578324310859</v>
      </c>
    </row>
    <row r="416" spans="1:19" x14ac:dyDescent="0.25">
      <c r="A416" s="1" t="s">
        <v>1014</v>
      </c>
      <c r="B416" s="1" t="s">
        <v>1015</v>
      </c>
      <c r="C416" s="1" t="s">
        <v>851</v>
      </c>
      <c r="D416" s="1" t="s">
        <v>21</v>
      </c>
      <c r="E416" s="1" t="s">
        <v>1029</v>
      </c>
      <c r="F416" s="1" t="s">
        <v>501</v>
      </c>
      <c r="G416" s="1" t="s">
        <v>63</v>
      </c>
      <c r="H416" s="1" t="s">
        <v>673</v>
      </c>
      <c r="I416" s="1" t="s">
        <v>440</v>
      </c>
      <c r="J416" s="1" t="s">
        <v>673</v>
      </c>
      <c r="L416" s="1" t="s">
        <v>21</v>
      </c>
      <c r="N416" s="1" t="s">
        <v>21</v>
      </c>
      <c r="O416" s="1" t="s">
        <v>99</v>
      </c>
      <c r="P416">
        <v>0</v>
      </c>
      <c r="Q416" s="1" t="s">
        <v>21</v>
      </c>
      <c r="R416" s="1" t="s">
        <v>1020</v>
      </c>
      <c r="S416" s="1">
        <f t="shared" ca="1" si="6"/>
        <v>0.43443002547392329</v>
      </c>
    </row>
    <row r="417" spans="1:19" x14ac:dyDescent="0.25">
      <c r="A417" s="1" t="s">
        <v>1030</v>
      </c>
      <c r="B417" s="1" t="s">
        <v>1031</v>
      </c>
      <c r="C417" s="1" t="s">
        <v>1032</v>
      </c>
      <c r="D417" s="1" t="s">
        <v>21</v>
      </c>
      <c r="E417" s="1" t="s">
        <v>1033</v>
      </c>
      <c r="F417" s="1" t="s">
        <v>1034</v>
      </c>
      <c r="G417" s="1" t="s">
        <v>21</v>
      </c>
      <c r="H417" s="1" t="s">
        <v>21</v>
      </c>
      <c r="I417" s="1" t="s">
        <v>1035</v>
      </c>
      <c r="J417" s="1" t="s">
        <v>1036</v>
      </c>
      <c r="L417" s="1" t="s">
        <v>21</v>
      </c>
      <c r="N417" s="1" t="s">
        <v>21</v>
      </c>
      <c r="O417" s="1" t="s">
        <v>743</v>
      </c>
      <c r="P417">
        <v>0</v>
      </c>
      <c r="Q417" s="1" t="s">
        <v>21</v>
      </c>
      <c r="R417" s="1" t="s">
        <v>1036</v>
      </c>
      <c r="S417" s="1">
        <f t="shared" ca="1" si="6"/>
        <v>0.67373066700218109</v>
      </c>
    </row>
    <row r="418" spans="1:19" x14ac:dyDescent="0.25">
      <c r="A418" s="1" t="s">
        <v>1030</v>
      </c>
      <c r="B418" s="1" t="s">
        <v>1031</v>
      </c>
      <c r="C418" s="1" t="s">
        <v>1037</v>
      </c>
      <c r="D418" s="1" t="s">
        <v>21</v>
      </c>
      <c r="E418" s="1" t="s">
        <v>1038</v>
      </c>
      <c r="F418" s="1" t="s">
        <v>1034</v>
      </c>
      <c r="G418" s="1" t="s">
        <v>1035</v>
      </c>
      <c r="H418" s="1" t="s">
        <v>1036</v>
      </c>
      <c r="I418" s="1" t="s">
        <v>1039</v>
      </c>
      <c r="J418" s="1" t="s">
        <v>1036</v>
      </c>
      <c r="L418" s="1" t="s">
        <v>21</v>
      </c>
      <c r="N418" s="1" t="s">
        <v>21</v>
      </c>
      <c r="O418" s="1" t="s">
        <v>597</v>
      </c>
      <c r="P418">
        <v>0.05</v>
      </c>
      <c r="Q418" s="1" t="s">
        <v>338</v>
      </c>
      <c r="R418" s="1" t="s">
        <v>1036</v>
      </c>
      <c r="S418" s="1">
        <f t="shared" ca="1" si="6"/>
        <v>0.77516790307788586</v>
      </c>
    </row>
    <row r="419" spans="1:19" x14ac:dyDescent="0.25">
      <c r="A419" s="1" t="s">
        <v>1030</v>
      </c>
      <c r="B419" s="1" t="s">
        <v>1031</v>
      </c>
      <c r="C419" s="1" t="s">
        <v>1040</v>
      </c>
      <c r="D419" s="1" t="s">
        <v>21</v>
      </c>
      <c r="E419" s="1" t="s">
        <v>1041</v>
      </c>
      <c r="F419" s="1" t="s">
        <v>1034</v>
      </c>
      <c r="G419" s="1" t="s">
        <v>1039</v>
      </c>
      <c r="H419" s="1" t="s">
        <v>1036</v>
      </c>
      <c r="I419" s="1" t="s">
        <v>21</v>
      </c>
      <c r="J419" s="1" t="s">
        <v>21</v>
      </c>
      <c r="L419" s="1" t="s">
        <v>21</v>
      </c>
      <c r="N419" s="1" t="s">
        <v>21</v>
      </c>
      <c r="O419" s="1" t="s">
        <v>1042</v>
      </c>
      <c r="P419">
        <v>0.05</v>
      </c>
      <c r="Q419" s="1" t="s">
        <v>338</v>
      </c>
      <c r="R419" s="1" t="s">
        <v>1036</v>
      </c>
      <c r="S419" s="1">
        <f t="shared" ca="1" si="6"/>
        <v>0.69455311128085484</v>
      </c>
    </row>
    <row r="420" spans="1:19" x14ac:dyDescent="0.25">
      <c r="A420" s="1" t="s">
        <v>1030</v>
      </c>
      <c r="B420" s="1" t="s">
        <v>1043</v>
      </c>
      <c r="C420" s="1" t="s">
        <v>1032</v>
      </c>
      <c r="D420" s="1" t="s">
        <v>21</v>
      </c>
      <c r="E420" s="1" t="s">
        <v>1044</v>
      </c>
      <c r="F420" s="1" t="s">
        <v>1034</v>
      </c>
      <c r="G420" s="1" t="s">
        <v>21</v>
      </c>
      <c r="H420" s="1" t="s">
        <v>21</v>
      </c>
      <c r="I420" s="1" t="s">
        <v>1035</v>
      </c>
      <c r="J420" s="1" t="s">
        <v>1036</v>
      </c>
      <c r="L420" s="1" t="s">
        <v>21</v>
      </c>
      <c r="N420" s="1" t="s">
        <v>21</v>
      </c>
      <c r="O420" s="1" t="s">
        <v>765</v>
      </c>
      <c r="P420">
        <v>0</v>
      </c>
      <c r="Q420" s="1" t="s">
        <v>21</v>
      </c>
      <c r="R420" s="1" t="s">
        <v>1036</v>
      </c>
      <c r="S420" s="1">
        <f t="shared" ca="1" si="6"/>
        <v>0.11614794475266144</v>
      </c>
    </row>
    <row r="421" spans="1:19" x14ac:dyDescent="0.25">
      <c r="A421" s="1" t="s">
        <v>1030</v>
      </c>
      <c r="B421" s="1" t="s">
        <v>1043</v>
      </c>
      <c r="C421" s="1" t="s">
        <v>1037</v>
      </c>
      <c r="D421" s="1" t="s">
        <v>21</v>
      </c>
      <c r="E421" s="1" t="s">
        <v>1045</v>
      </c>
      <c r="F421" s="1" t="s">
        <v>1034</v>
      </c>
      <c r="G421" s="1" t="s">
        <v>1035</v>
      </c>
      <c r="H421" s="1" t="s">
        <v>1036</v>
      </c>
      <c r="I421" s="1" t="s">
        <v>1039</v>
      </c>
      <c r="J421" s="1" t="s">
        <v>1036</v>
      </c>
      <c r="L421" s="1" t="s">
        <v>21</v>
      </c>
      <c r="N421" s="1" t="s">
        <v>21</v>
      </c>
      <c r="O421" s="1" t="s">
        <v>1046</v>
      </c>
      <c r="P421">
        <v>7.0000000000000007E-2</v>
      </c>
      <c r="Q421" s="1" t="s">
        <v>338</v>
      </c>
      <c r="R421" s="1" t="s">
        <v>1036</v>
      </c>
      <c r="S421" s="1">
        <f t="shared" ca="1" si="6"/>
        <v>0.69739172913663061</v>
      </c>
    </row>
    <row r="422" spans="1:19" x14ac:dyDescent="0.25">
      <c r="A422" s="1" t="s">
        <v>1030</v>
      </c>
      <c r="B422" s="1" t="s">
        <v>1043</v>
      </c>
      <c r="C422" s="1" t="s">
        <v>1040</v>
      </c>
      <c r="D422" s="1" t="s">
        <v>21</v>
      </c>
      <c r="E422" s="1" t="s">
        <v>1047</v>
      </c>
      <c r="F422" s="1" t="s">
        <v>1034</v>
      </c>
      <c r="G422" s="1" t="s">
        <v>1039</v>
      </c>
      <c r="H422" s="1" t="s">
        <v>1036</v>
      </c>
      <c r="I422" s="1" t="s">
        <v>21</v>
      </c>
      <c r="J422" s="1" t="s">
        <v>21</v>
      </c>
      <c r="L422" s="1" t="s">
        <v>21</v>
      </c>
      <c r="N422" s="1" t="s">
        <v>21</v>
      </c>
      <c r="O422" s="1" t="s">
        <v>597</v>
      </c>
      <c r="P422">
        <v>0.11</v>
      </c>
      <c r="Q422" s="1" t="s">
        <v>338</v>
      </c>
      <c r="R422" s="1" t="s">
        <v>1036</v>
      </c>
      <c r="S422" s="1">
        <f t="shared" ca="1" si="6"/>
        <v>0.99626504704480223</v>
      </c>
    </row>
    <row r="423" spans="1:19" x14ac:dyDescent="0.25">
      <c r="A423" s="1" t="s">
        <v>1030</v>
      </c>
      <c r="B423" s="1" t="s">
        <v>1048</v>
      </c>
      <c r="C423" s="1" t="s">
        <v>1049</v>
      </c>
      <c r="D423" s="1" t="s">
        <v>21</v>
      </c>
      <c r="E423" s="1" t="s">
        <v>1050</v>
      </c>
      <c r="F423" s="1" t="s">
        <v>1034</v>
      </c>
      <c r="G423" s="1" t="s">
        <v>21</v>
      </c>
      <c r="H423" s="1" t="s">
        <v>21</v>
      </c>
      <c r="I423" s="1" t="s">
        <v>307</v>
      </c>
      <c r="J423" s="1" t="s">
        <v>1036</v>
      </c>
      <c r="L423" s="1" t="s">
        <v>21</v>
      </c>
      <c r="N423" s="1" t="s">
        <v>21</v>
      </c>
      <c r="O423" s="1" t="s">
        <v>328</v>
      </c>
      <c r="P423">
        <v>0</v>
      </c>
      <c r="Q423" s="1" t="s">
        <v>21</v>
      </c>
      <c r="R423" s="1" t="s">
        <v>1036</v>
      </c>
      <c r="S423" s="1">
        <f t="shared" ca="1" si="6"/>
        <v>0.24806840372515537</v>
      </c>
    </row>
    <row r="424" spans="1:19" x14ac:dyDescent="0.25">
      <c r="A424" s="1" t="s">
        <v>1030</v>
      </c>
      <c r="B424" s="1" t="s">
        <v>1048</v>
      </c>
      <c r="C424" s="1" t="s">
        <v>1051</v>
      </c>
      <c r="D424" s="1" t="s">
        <v>21</v>
      </c>
      <c r="E424" s="1" t="s">
        <v>1045</v>
      </c>
      <c r="F424" s="1" t="s">
        <v>1034</v>
      </c>
      <c r="G424" s="1" t="s">
        <v>307</v>
      </c>
      <c r="H424" s="1" t="s">
        <v>1036</v>
      </c>
      <c r="I424" s="1" t="s">
        <v>1039</v>
      </c>
      <c r="J424" s="1" t="s">
        <v>1036</v>
      </c>
      <c r="L424" s="1" t="s">
        <v>21</v>
      </c>
      <c r="N424" s="1" t="s">
        <v>21</v>
      </c>
      <c r="O424" s="1" t="s">
        <v>1046</v>
      </c>
      <c r="P424">
        <v>7.0000000000000007E-2</v>
      </c>
      <c r="Q424" s="1" t="s">
        <v>338</v>
      </c>
      <c r="R424" s="1" t="s">
        <v>1036</v>
      </c>
      <c r="S424" s="1">
        <f t="shared" ca="1" si="6"/>
        <v>0.38297339470060987</v>
      </c>
    </row>
    <row r="425" spans="1:19" x14ac:dyDescent="0.25">
      <c r="A425" s="1" t="s">
        <v>1030</v>
      </c>
      <c r="B425" s="1" t="s">
        <v>1048</v>
      </c>
      <c r="C425" s="1" t="s">
        <v>1040</v>
      </c>
      <c r="D425" s="1" t="s">
        <v>21</v>
      </c>
      <c r="E425" s="1" t="s">
        <v>1052</v>
      </c>
      <c r="F425" s="1" t="s">
        <v>1034</v>
      </c>
      <c r="G425" s="1" t="s">
        <v>1039</v>
      </c>
      <c r="H425" s="1" t="s">
        <v>1036</v>
      </c>
      <c r="I425" s="1" t="s">
        <v>21</v>
      </c>
      <c r="J425" s="1" t="s">
        <v>21</v>
      </c>
      <c r="L425" s="1" t="s">
        <v>21</v>
      </c>
      <c r="N425" s="1" t="s">
        <v>21</v>
      </c>
      <c r="O425" s="1" t="s">
        <v>778</v>
      </c>
      <c r="P425">
        <v>0.05</v>
      </c>
      <c r="Q425" s="1" t="s">
        <v>338</v>
      </c>
      <c r="R425" s="1" t="s">
        <v>1036</v>
      </c>
      <c r="S425" s="1">
        <f t="shared" ca="1" si="6"/>
        <v>0.39341571950950993</v>
      </c>
    </row>
    <row r="426" spans="1:19" x14ac:dyDescent="0.25">
      <c r="A426" s="1" t="s">
        <v>1053</v>
      </c>
      <c r="B426" s="1" t="s">
        <v>21</v>
      </c>
      <c r="C426" s="1" t="s">
        <v>1054</v>
      </c>
      <c r="D426" s="1" t="s">
        <v>21</v>
      </c>
      <c r="E426" s="1" t="s">
        <v>1055</v>
      </c>
      <c r="F426" s="1" t="s">
        <v>1056</v>
      </c>
      <c r="G426" s="1" t="s">
        <v>1057</v>
      </c>
      <c r="H426" s="1" t="s">
        <v>1058</v>
      </c>
      <c r="I426" s="1" t="s">
        <v>157</v>
      </c>
      <c r="J426" s="1" t="s">
        <v>1058</v>
      </c>
      <c r="L426" s="1" t="s">
        <v>21</v>
      </c>
      <c r="N426" s="1" t="s">
        <v>21</v>
      </c>
      <c r="O426" s="1" t="s">
        <v>1059</v>
      </c>
      <c r="P426">
        <v>1.7000000000000001E-2</v>
      </c>
      <c r="Q426" s="1" t="s">
        <v>1060</v>
      </c>
      <c r="R426" s="1" t="s">
        <v>1058</v>
      </c>
      <c r="S426" s="1">
        <f t="shared" ca="1" si="6"/>
        <v>0.21001501763034425</v>
      </c>
    </row>
    <row r="427" spans="1:19" x14ac:dyDescent="0.25">
      <c r="A427" s="1" t="s">
        <v>1053</v>
      </c>
      <c r="B427" s="1" t="s">
        <v>21</v>
      </c>
      <c r="C427" s="1" t="s">
        <v>1061</v>
      </c>
      <c r="D427" s="1" t="s">
        <v>21</v>
      </c>
      <c r="E427" s="1" t="s">
        <v>1062</v>
      </c>
      <c r="F427" s="1" t="s">
        <v>1063</v>
      </c>
      <c r="G427" s="1" t="s">
        <v>157</v>
      </c>
      <c r="H427" s="1" t="s">
        <v>1058</v>
      </c>
      <c r="I427" s="1" t="s">
        <v>1064</v>
      </c>
      <c r="J427" s="1" t="s">
        <v>1065</v>
      </c>
      <c r="L427" s="1" t="s">
        <v>21</v>
      </c>
      <c r="N427" s="1" t="s">
        <v>21</v>
      </c>
      <c r="O427" s="1" t="s">
        <v>1066</v>
      </c>
      <c r="P427">
        <v>0</v>
      </c>
      <c r="Q427" s="1" t="s">
        <v>21</v>
      </c>
      <c r="R427" s="1" t="s">
        <v>1060</v>
      </c>
      <c r="S427" s="1">
        <f t="shared" ca="1" si="6"/>
        <v>0.46803046207353238</v>
      </c>
    </row>
    <row r="428" spans="1:19" x14ac:dyDescent="0.25">
      <c r="A428" s="1" t="s">
        <v>1067</v>
      </c>
      <c r="B428" s="1" t="s">
        <v>21</v>
      </c>
      <c r="C428" s="1" t="s">
        <v>1068</v>
      </c>
      <c r="D428" s="1" t="s">
        <v>21</v>
      </c>
      <c r="E428" s="1" t="s">
        <v>1069</v>
      </c>
      <c r="F428" s="1" t="s">
        <v>1070</v>
      </c>
      <c r="G428" s="1" t="s">
        <v>1071</v>
      </c>
      <c r="H428" s="1" t="s">
        <v>1058</v>
      </c>
      <c r="I428" s="1" t="s">
        <v>75</v>
      </c>
      <c r="J428" s="1" t="s">
        <v>1058</v>
      </c>
      <c r="L428" s="1" t="s">
        <v>21</v>
      </c>
      <c r="N428" s="1" t="s">
        <v>21</v>
      </c>
      <c r="O428" s="1" t="s">
        <v>549</v>
      </c>
      <c r="P428">
        <v>2.9999999999999997E-4</v>
      </c>
      <c r="Q428" s="1" t="s">
        <v>338</v>
      </c>
      <c r="R428" s="1" t="s">
        <v>1058</v>
      </c>
      <c r="S428" s="1">
        <f t="shared" ca="1" si="6"/>
        <v>2.4233680679284997E-2</v>
      </c>
    </row>
    <row r="429" spans="1:19" x14ac:dyDescent="0.25">
      <c r="A429" s="1" t="s">
        <v>1067</v>
      </c>
      <c r="B429" s="1" t="s">
        <v>21</v>
      </c>
      <c r="C429" s="1" t="s">
        <v>1072</v>
      </c>
      <c r="D429" s="1" t="s">
        <v>21</v>
      </c>
      <c r="E429" s="1" t="s">
        <v>990</v>
      </c>
      <c r="F429" s="1" t="s">
        <v>1070</v>
      </c>
      <c r="G429" s="1" t="s">
        <v>979</v>
      </c>
      <c r="H429" s="1" t="s">
        <v>1073</v>
      </c>
      <c r="I429" s="1" t="s">
        <v>258</v>
      </c>
      <c r="J429" s="1" t="s">
        <v>1073</v>
      </c>
      <c r="L429" s="1" t="s">
        <v>21</v>
      </c>
      <c r="N429" s="1" t="s">
        <v>21</v>
      </c>
      <c r="O429" s="1" t="s">
        <v>765</v>
      </c>
      <c r="P429">
        <v>0</v>
      </c>
      <c r="Q429" s="1" t="s">
        <v>21</v>
      </c>
      <c r="R429" s="1" t="s">
        <v>338</v>
      </c>
      <c r="S429" s="1">
        <f t="shared" ca="1" si="6"/>
        <v>0.94147846984146255</v>
      </c>
    </row>
    <row r="430" spans="1:19" x14ac:dyDescent="0.25">
      <c r="A430" s="1" t="s">
        <v>1067</v>
      </c>
      <c r="B430" s="1" t="s">
        <v>21</v>
      </c>
      <c r="C430" s="1" t="s">
        <v>1074</v>
      </c>
      <c r="D430" s="1" t="s">
        <v>21</v>
      </c>
      <c r="E430" s="1" t="s">
        <v>1075</v>
      </c>
      <c r="F430" s="1" t="s">
        <v>1070</v>
      </c>
      <c r="G430" s="1" t="s">
        <v>1076</v>
      </c>
      <c r="H430" s="1" t="s">
        <v>1065</v>
      </c>
      <c r="I430" s="1" t="s">
        <v>65</v>
      </c>
      <c r="J430" s="1" t="s">
        <v>1065</v>
      </c>
      <c r="L430" s="1" t="s">
        <v>21</v>
      </c>
      <c r="N430" s="1" t="s">
        <v>21</v>
      </c>
      <c r="O430" s="1" t="s">
        <v>337</v>
      </c>
      <c r="P430">
        <v>0</v>
      </c>
      <c r="Q430" s="1" t="s">
        <v>21</v>
      </c>
      <c r="R430" s="1" t="s">
        <v>338</v>
      </c>
      <c r="S430" s="1">
        <f t="shared" ca="1" si="6"/>
        <v>0.26960392175475012</v>
      </c>
    </row>
    <row r="431" spans="1:19" x14ac:dyDescent="0.25">
      <c r="A431" s="1" t="s">
        <v>1067</v>
      </c>
      <c r="B431" s="1" t="s">
        <v>21</v>
      </c>
      <c r="C431" s="1" t="s">
        <v>1077</v>
      </c>
      <c r="D431" s="1" t="s">
        <v>21</v>
      </c>
      <c r="E431" s="1" t="s">
        <v>993</v>
      </c>
      <c r="F431" s="1" t="s">
        <v>1070</v>
      </c>
      <c r="G431" s="1" t="s">
        <v>65</v>
      </c>
      <c r="H431" s="1" t="s">
        <v>1065</v>
      </c>
      <c r="I431" s="1" t="s">
        <v>453</v>
      </c>
      <c r="J431" s="1" t="s">
        <v>1065</v>
      </c>
      <c r="L431" s="1" t="s">
        <v>21</v>
      </c>
      <c r="N431" s="1" t="s">
        <v>21</v>
      </c>
      <c r="O431" s="1" t="s">
        <v>118</v>
      </c>
      <c r="P431">
        <v>0</v>
      </c>
      <c r="Q431" s="1" t="s">
        <v>21</v>
      </c>
      <c r="R431" s="1" t="s">
        <v>338</v>
      </c>
      <c r="S431" s="1">
        <f t="shared" ca="1" si="6"/>
        <v>0.67074225405384236</v>
      </c>
    </row>
    <row r="432" spans="1:19" x14ac:dyDescent="0.25">
      <c r="A432" s="1" t="s">
        <v>1067</v>
      </c>
      <c r="B432" s="1" t="s">
        <v>21</v>
      </c>
      <c r="C432" s="1" t="s">
        <v>1078</v>
      </c>
      <c r="D432" s="1" t="s">
        <v>21</v>
      </c>
      <c r="E432" s="1" t="s">
        <v>1075</v>
      </c>
      <c r="F432" s="1" t="s">
        <v>1070</v>
      </c>
      <c r="G432" s="1" t="s">
        <v>453</v>
      </c>
      <c r="H432" s="1" t="s">
        <v>1065</v>
      </c>
      <c r="I432" s="1" t="s">
        <v>652</v>
      </c>
      <c r="J432" s="1" t="s">
        <v>1065</v>
      </c>
      <c r="L432" s="1" t="s">
        <v>21</v>
      </c>
      <c r="N432" s="1" t="s">
        <v>21</v>
      </c>
      <c r="O432" s="1" t="s">
        <v>337</v>
      </c>
      <c r="P432">
        <v>0</v>
      </c>
      <c r="Q432" s="1" t="s">
        <v>21</v>
      </c>
      <c r="R432" s="1" t="s">
        <v>338</v>
      </c>
      <c r="S432" s="1">
        <f t="shared" ca="1" si="6"/>
        <v>0.65482763979339143</v>
      </c>
    </row>
    <row r="433" spans="1:19" x14ac:dyDescent="0.25">
      <c r="A433" s="1" t="s">
        <v>1079</v>
      </c>
      <c r="B433" s="1" t="s">
        <v>21</v>
      </c>
      <c r="C433" s="1" t="s">
        <v>1080</v>
      </c>
      <c r="D433" s="1" t="s">
        <v>21</v>
      </c>
      <c r="E433" s="1" t="s">
        <v>1081</v>
      </c>
      <c r="F433" s="1" t="s">
        <v>1082</v>
      </c>
      <c r="G433" s="1" t="s">
        <v>1057</v>
      </c>
      <c r="H433" s="1" t="s">
        <v>1083</v>
      </c>
      <c r="I433" s="1" t="s">
        <v>1084</v>
      </c>
      <c r="J433" s="1" t="s">
        <v>1083</v>
      </c>
      <c r="L433" s="1" t="s">
        <v>21</v>
      </c>
      <c r="N433" s="1" t="s">
        <v>21</v>
      </c>
      <c r="O433" s="1" t="s">
        <v>1085</v>
      </c>
      <c r="P433">
        <v>0</v>
      </c>
      <c r="Q433" s="1" t="s">
        <v>1086</v>
      </c>
      <c r="R433" s="1" t="s">
        <v>1087</v>
      </c>
      <c r="S433" s="1">
        <f t="shared" ca="1" si="6"/>
        <v>0.63004237981061195</v>
      </c>
    </row>
    <row r="434" spans="1:19" x14ac:dyDescent="0.25">
      <c r="A434" s="1" t="s">
        <v>1079</v>
      </c>
      <c r="B434" s="1" t="s">
        <v>21</v>
      </c>
      <c r="C434" s="1" t="s">
        <v>1088</v>
      </c>
      <c r="D434" s="1" t="s">
        <v>21</v>
      </c>
      <c r="E434" s="1" t="s">
        <v>1089</v>
      </c>
      <c r="F434" s="1" t="s">
        <v>1082</v>
      </c>
      <c r="G434" s="1" t="s">
        <v>1084</v>
      </c>
      <c r="H434" s="1" t="s">
        <v>1083</v>
      </c>
      <c r="I434" s="1" t="s">
        <v>1090</v>
      </c>
      <c r="J434" s="1" t="s">
        <v>1083</v>
      </c>
      <c r="L434" s="1" t="s">
        <v>21</v>
      </c>
      <c r="N434" s="1" t="s">
        <v>21</v>
      </c>
      <c r="O434" s="1" t="s">
        <v>765</v>
      </c>
      <c r="P434">
        <v>1E-4</v>
      </c>
      <c r="Q434" s="1" t="s">
        <v>950</v>
      </c>
      <c r="R434" s="1" t="s">
        <v>1087</v>
      </c>
      <c r="S434" s="1">
        <f t="shared" ca="1" si="6"/>
        <v>0.51083387022240756</v>
      </c>
    </row>
    <row r="435" spans="1:19" x14ac:dyDescent="0.25">
      <c r="A435" s="1" t="s">
        <v>1079</v>
      </c>
      <c r="B435" s="1" t="s">
        <v>21</v>
      </c>
      <c r="C435" s="1" t="s">
        <v>1091</v>
      </c>
      <c r="D435" s="1" t="s">
        <v>21</v>
      </c>
      <c r="E435" s="1" t="s">
        <v>1092</v>
      </c>
      <c r="F435" s="1" t="s">
        <v>1093</v>
      </c>
      <c r="G435" s="1" t="s">
        <v>467</v>
      </c>
      <c r="H435" s="1" t="s">
        <v>1083</v>
      </c>
      <c r="I435" s="1" t="s">
        <v>634</v>
      </c>
      <c r="J435" s="1" t="s">
        <v>1083</v>
      </c>
      <c r="L435" s="1" t="s">
        <v>21</v>
      </c>
      <c r="N435" s="1" t="s">
        <v>21</v>
      </c>
      <c r="O435" s="1" t="s">
        <v>628</v>
      </c>
      <c r="P435">
        <v>9.4000000000000004E-3</v>
      </c>
      <c r="Q435" s="1" t="s">
        <v>950</v>
      </c>
      <c r="R435" s="1" t="s">
        <v>1087</v>
      </c>
      <c r="S435" s="1">
        <f t="shared" ca="1" si="6"/>
        <v>0.23116232389231361</v>
      </c>
    </row>
    <row r="436" spans="1:19" x14ac:dyDescent="0.25">
      <c r="A436" s="1" t="s">
        <v>1079</v>
      </c>
      <c r="B436" s="1" t="s">
        <v>21</v>
      </c>
      <c r="C436" s="1" t="s">
        <v>1094</v>
      </c>
      <c r="D436" s="1" t="s">
        <v>21</v>
      </c>
      <c r="E436" s="1" t="s">
        <v>1095</v>
      </c>
      <c r="F436" s="1" t="s">
        <v>1093</v>
      </c>
      <c r="G436" s="1" t="s">
        <v>634</v>
      </c>
      <c r="H436" s="1" t="s">
        <v>1083</v>
      </c>
      <c r="I436" s="1" t="s">
        <v>403</v>
      </c>
      <c r="J436" s="1" t="s">
        <v>1083</v>
      </c>
      <c r="L436" s="1" t="s">
        <v>21</v>
      </c>
      <c r="N436" s="1" t="s">
        <v>21</v>
      </c>
      <c r="O436" s="1" t="s">
        <v>624</v>
      </c>
      <c r="P436">
        <v>1.2E-2</v>
      </c>
      <c r="Q436" s="1" t="s">
        <v>950</v>
      </c>
      <c r="R436" s="1" t="s">
        <v>1087</v>
      </c>
      <c r="S436" s="1">
        <f t="shared" ca="1" si="6"/>
        <v>0.51110848445461188</v>
      </c>
    </row>
    <row r="437" spans="1:19" x14ac:dyDescent="0.25">
      <c r="A437" s="1" t="s">
        <v>1079</v>
      </c>
      <c r="B437" s="1" t="s">
        <v>21</v>
      </c>
      <c r="C437" s="1" t="s">
        <v>1096</v>
      </c>
      <c r="D437" s="1" t="s">
        <v>21</v>
      </c>
      <c r="E437" s="1" t="s">
        <v>1097</v>
      </c>
      <c r="F437" s="1" t="s">
        <v>1093</v>
      </c>
      <c r="G437" s="1" t="s">
        <v>171</v>
      </c>
      <c r="H437" s="1" t="s">
        <v>1098</v>
      </c>
      <c r="I437" s="1" t="s">
        <v>1099</v>
      </c>
      <c r="J437" s="1" t="s">
        <v>1098</v>
      </c>
      <c r="L437" s="1" t="s">
        <v>21</v>
      </c>
      <c r="N437" s="1" t="s">
        <v>21</v>
      </c>
      <c r="O437" s="1" t="s">
        <v>1100</v>
      </c>
      <c r="P437">
        <v>4.7999999999999996E-3</v>
      </c>
      <c r="Q437" s="1" t="s">
        <v>950</v>
      </c>
      <c r="R437" s="1" t="s">
        <v>1087</v>
      </c>
      <c r="S437" s="1">
        <f t="shared" ca="1" si="6"/>
        <v>0.70955208558676575</v>
      </c>
    </row>
    <row r="438" spans="1:19" x14ac:dyDescent="0.25">
      <c r="A438" s="1" t="s">
        <v>1079</v>
      </c>
      <c r="B438" s="1" t="s">
        <v>21</v>
      </c>
      <c r="C438" s="1" t="s">
        <v>1101</v>
      </c>
      <c r="D438" s="1" t="s">
        <v>21</v>
      </c>
      <c r="E438" s="1" t="s">
        <v>1102</v>
      </c>
      <c r="F438" s="1" t="s">
        <v>1103</v>
      </c>
      <c r="G438" s="1" t="s">
        <v>118</v>
      </c>
      <c r="H438" s="1" t="s">
        <v>1104</v>
      </c>
      <c r="I438" s="1" t="s">
        <v>382</v>
      </c>
      <c r="J438" s="1" t="s">
        <v>1104</v>
      </c>
      <c r="L438" s="1" t="s">
        <v>21</v>
      </c>
      <c r="N438" s="1" t="s">
        <v>21</v>
      </c>
      <c r="O438" s="1" t="s">
        <v>1105</v>
      </c>
      <c r="P438">
        <v>3.5</v>
      </c>
      <c r="Q438" s="1" t="s">
        <v>950</v>
      </c>
      <c r="R438" s="1" t="s">
        <v>1087</v>
      </c>
      <c r="S438" s="1">
        <f t="shared" ca="1" si="6"/>
        <v>0.13903835288757282</v>
      </c>
    </row>
    <row r="439" spans="1:19" x14ac:dyDescent="0.25">
      <c r="A439" s="1" t="s">
        <v>1106</v>
      </c>
      <c r="B439" s="1" t="s">
        <v>1107</v>
      </c>
      <c r="C439" s="1" t="s">
        <v>1108</v>
      </c>
      <c r="D439" s="1" t="s">
        <v>21</v>
      </c>
      <c r="E439" s="1" t="s">
        <v>1109</v>
      </c>
      <c r="F439" s="1" t="s">
        <v>1110</v>
      </c>
      <c r="G439" s="1" t="s">
        <v>1108</v>
      </c>
      <c r="H439" s="1" t="s">
        <v>21</v>
      </c>
      <c r="I439" s="1" t="s">
        <v>1108</v>
      </c>
      <c r="J439" s="1" t="s">
        <v>21</v>
      </c>
      <c r="L439" s="1" t="s">
        <v>21</v>
      </c>
      <c r="N439" s="1" t="s">
        <v>21</v>
      </c>
      <c r="O439" s="1" t="s">
        <v>1111</v>
      </c>
      <c r="P439">
        <v>0</v>
      </c>
      <c r="Q439" s="1" t="s">
        <v>21</v>
      </c>
      <c r="R439" s="1" t="s">
        <v>1107</v>
      </c>
      <c r="S439" s="1">
        <f t="shared" ca="1" si="6"/>
        <v>0.44436139512033457</v>
      </c>
    </row>
    <row r="440" spans="1:19" x14ac:dyDescent="0.25">
      <c r="A440" s="1" t="s">
        <v>1106</v>
      </c>
      <c r="B440" s="1" t="s">
        <v>1107</v>
      </c>
      <c r="C440" s="1" t="s">
        <v>1112</v>
      </c>
      <c r="D440" s="1" t="s">
        <v>21</v>
      </c>
      <c r="E440" s="1" t="s">
        <v>1113</v>
      </c>
      <c r="F440" s="1" t="s">
        <v>1110</v>
      </c>
      <c r="G440" s="1" t="s">
        <v>1112</v>
      </c>
      <c r="H440" s="1" t="s">
        <v>21</v>
      </c>
      <c r="I440" s="1" t="s">
        <v>1112</v>
      </c>
      <c r="J440" s="1" t="s">
        <v>21</v>
      </c>
      <c r="L440" s="1" t="s">
        <v>21</v>
      </c>
      <c r="N440" s="1" t="s">
        <v>21</v>
      </c>
      <c r="O440" s="1" t="s">
        <v>1114</v>
      </c>
      <c r="P440">
        <v>0</v>
      </c>
      <c r="Q440" s="1" t="s">
        <v>21</v>
      </c>
      <c r="R440" s="1" t="s">
        <v>1107</v>
      </c>
      <c r="S440" s="1">
        <f t="shared" ca="1" si="6"/>
        <v>0.11241709529352584</v>
      </c>
    </row>
    <row r="441" spans="1:19" x14ac:dyDescent="0.25">
      <c r="A441" s="1" t="s">
        <v>1106</v>
      </c>
      <c r="B441" s="1" t="s">
        <v>1107</v>
      </c>
      <c r="C441" s="1" t="s">
        <v>1115</v>
      </c>
      <c r="D441" s="1" t="s">
        <v>21</v>
      </c>
      <c r="E441" s="1" t="s">
        <v>1116</v>
      </c>
      <c r="F441" s="1" t="s">
        <v>1110</v>
      </c>
      <c r="G441" s="1" t="s">
        <v>1115</v>
      </c>
      <c r="H441" s="1" t="s">
        <v>21</v>
      </c>
      <c r="I441" s="1" t="s">
        <v>1115</v>
      </c>
      <c r="J441" s="1" t="s">
        <v>21</v>
      </c>
      <c r="L441" s="1" t="s">
        <v>21</v>
      </c>
      <c r="N441" s="1" t="s">
        <v>21</v>
      </c>
      <c r="O441" s="1" t="s">
        <v>441</v>
      </c>
      <c r="P441">
        <v>0</v>
      </c>
      <c r="Q441" s="1" t="s">
        <v>21</v>
      </c>
      <c r="R441" s="1" t="s">
        <v>1107</v>
      </c>
      <c r="S441" s="1">
        <f t="shared" ca="1" si="6"/>
        <v>0.91586317952100427</v>
      </c>
    </row>
    <row r="442" spans="1:19" x14ac:dyDescent="0.25">
      <c r="A442" s="1" t="s">
        <v>1106</v>
      </c>
      <c r="B442" s="1" t="s">
        <v>1117</v>
      </c>
      <c r="C442" s="1" t="s">
        <v>1108</v>
      </c>
      <c r="D442" s="1" t="s">
        <v>21</v>
      </c>
      <c r="E442" s="1" t="s">
        <v>1118</v>
      </c>
      <c r="F442" s="1" t="s">
        <v>1110</v>
      </c>
      <c r="G442" s="1" t="s">
        <v>1108</v>
      </c>
      <c r="H442" s="1" t="s">
        <v>21</v>
      </c>
      <c r="I442" s="1" t="s">
        <v>1108</v>
      </c>
      <c r="J442" s="1" t="s">
        <v>21</v>
      </c>
      <c r="L442" s="1" t="s">
        <v>21</v>
      </c>
      <c r="N442" s="1" t="s">
        <v>21</v>
      </c>
      <c r="O442" s="1" t="s">
        <v>935</v>
      </c>
      <c r="P442">
        <v>0</v>
      </c>
      <c r="Q442" s="1" t="s">
        <v>21</v>
      </c>
      <c r="R442" s="1" t="s">
        <v>1117</v>
      </c>
      <c r="S442" s="1">
        <f t="shared" ca="1" si="6"/>
        <v>0.71869878311122737</v>
      </c>
    </row>
    <row r="443" spans="1:19" x14ac:dyDescent="0.25">
      <c r="A443" s="1" t="s">
        <v>1106</v>
      </c>
      <c r="B443" s="1" t="s">
        <v>1117</v>
      </c>
      <c r="C443" s="1" t="s">
        <v>1112</v>
      </c>
      <c r="D443" s="1" t="s">
        <v>21</v>
      </c>
      <c r="E443" s="1" t="s">
        <v>1119</v>
      </c>
      <c r="F443" s="1" t="s">
        <v>1110</v>
      </c>
      <c r="G443" s="1" t="s">
        <v>1112</v>
      </c>
      <c r="H443" s="1" t="s">
        <v>21</v>
      </c>
      <c r="I443" s="1" t="s">
        <v>1112</v>
      </c>
      <c r="J443" s="1" t="s">
        <v>21</v>
      </c>
      <c r="L443" s="1" t="s">
        <v>21</v>
      </c>
      <c r="N443" s="1" t="s">
        <v>21</v>
      </c>
      <c r="O443" s="1" t="s">
        <v>908</v>
      </c>
      <c r="P443">
        <v>0</v>
      </c>
      <c r="Q443" s="1" t="s">
        <v>21</v>
      </c>
      <c r="R443" s="1" t="s">
        <v>1117</v>
      </c>
      <c r="S443" s="1">
        <f t="shared" ca="1" si="6"/>
        <v>0.56704742801101882</v>
      </c>
    </row>
    <row r="444" spans="1:19" x14ac:dyDescent="0.25">
      <c r="A444" s="1" t="s">
        <v>1106</v>
      </c>
      <c r="B444" s="1" t="s">
        <v>1117</v>
      </c>
      <c r="C444" s="1" t="s">
        <v>1115</v>
      </c>
      <c r="D444" s="1" t="s">
        <v>21</v>
      </c>
      <c r="E444" s="1" t="s">
        <v>1120</v>
      </c>
      <c r="F444" s="1" t="s">
        <v>1110</v>
      </c>
      <c r="G444" s="1" t="s">
        <v>1115</v>
      </c>
      <c r="H444" s="1" t="s">
        <v>21</v>
      </c>
      <c r="I444" s="1" t="s">
        <v>1115</v>
      </c>
      <c r="J444" s="1" t="s">
        <v>21</v>
      </c>
      <c r="L444" s="1" t="s">
        <v>21</v>
      </c>
      <c r="N444" s="1" t="s">
        <v>21</v>
      </c>
      <c r="O444" s="1" t="s">
        <v>1121</v>
      </c>
      <c r="P444">
        <v>0</v>
      </c>
      <c r="Q444" s="1" t="s">
        <v>21</v>
      </c>
      <c r="R444" s="1" t="s">
        <v>1117</v>
      </c>
      <c r="S444" s="1">
        <f t="shared" ca="1" si="6"/>
        <v>4.7797354758745469E-2</v>
      </c>
    </row>
    <row r="445" spans="1:19" x14ac:dyDescent="0.25">
      <c r="A445" s="1" t="s">
        <v>1106</v>
      </c>
      <c r="B445" s="1" t="s">
        <v>1122</v>
      </c>
      <c r="C445" s="1" t="s">
        <v>1108</v>
      </c>
      <c r="D445" s="1" t="s">
        <v>21</v>
      </c>
      <c r="E445" s="1" t="s">
        <v>1123</v>
      </c>
      <c r="F445" s="1" t="s">
        <v>1110</v>
      </c>
      <c r="G445" s="1" t="s">
        <v>1108</v>
      </c>
      <c r="H445" s="1" t="s">
        <v>21</v>
      </c>
      <c r="I445" s="1" t="s">
        <v>1108</v>
      </c>
      <c r="J445" s="1" t="s">
        <v>21</v>
      </c>
      <c r="L445" s="1" t="s">
        <v>21</v>
      </c>
      <c r="N445" s="1" t="s">
        <v>21</v>
      </c>
      <c r="O445" s="1" t="s">
        <v>1121</v>
      </c>
      <c r="P445">
        <v>0</v>
      </c>
      <c r="Q445" s="1" t="s">
        <v>21</v>
      </c>
      <c r="R445" s="1" t="s">
        <v>1122</v>
      </c>
      <c r="S445" s="1">
        <f t="shared" ca="1" si="6"/>
        <v>0.31460079848978439</v>
      </c>
    </row>
    <row r="446" spans="1:19" x14ac:dyDescent="0.25">
      <c r="A446" s="1" t="s">
        <v>1106</v>
      </c>
      <c r="B446" s="1" t="s">
        <v>1122</v>
      </c>
      <c r="C446" s="1" t="s">
        <v>1112</v>
      </c>
      <c r="D446" s="1" t="s">
        <v>21</v>
      </c>
      <c r="E446" s="1" t="s">
        <v>1124</v>
      </c>
      <c r="F446" s="1" t="s">
        <v>1110</v>
      </c>
      <c r="G446" s="1" t="s">
        <v>1112</v>
      </c>
      <c r="H446" s="1" t="s">
        <v>21</v>
      </c>
      <c r="I446" s="1" t="s">
        <v>1112</v>
      </c>
      <c r="J446" s="1" t="s">
        <v>21</v>
      </c>
      <c r="L446" s="1" t="s">
        <v>21</v>
      </c>
      <c r="N446" s="1" t="s">
        <v>21</v>
      </c>
      <c r="O446" s="1" t="s">
        <v>515</v>
      </c>
      <c r="P446">
        <v>0</v>
      </c>
      <c r="Q446" s="1" t="s">
        <v>21</v>
      </c>
      <c r="R446" s="1" t="s">
        <v>1122</v>
      </c>
      <c r="S446" s="1">
        <f t="shared" ca="1" si="6"/>
        <v>0.18478685096216574</v>
      </c>
    </row>
    <row r="447" spans="1:19" x14ac:dyDescent="0.25">
      <c r="A447" s="1" t="s">
        <v>1106</v>
      </c>
      <c r="B447" s="1" t="s">
        <v>1122</v>
      </c>
      <c r="C447" s="1" t="s">
        <v>1115</v>
      </c>
      <c r="D447" s="1" t="s">
        <v>21</v>
      </c>
      <c r="E447" s="1" t="s">
        <v>1125</v>
      </c>
      <c r="F447" s="1" t="s">
        <v>1110</v>
      </c>
      <c r="G447" s="1" t="s">
        <v>1115</v>
      </c>
      <c r="H447" s="1" t="s">
        <v>21</v>
      </c>
      <c r="I447" s="1" t="s">
        <v>1115</v>
      </c>
      <c r="J447" s="1" t="s">
        <v>21</v>
      </c>
      <c r="L447" s="1" t="s">
        <v>21</v>
      </c>
      <c r="N447" s="1" t="s">
        <v>21</v>
      </c>
      <c r="O447" s="1" t="s">
        <v>1114</v>
      </c>
      <c r="P447">
        <v>0</v>
      </c>
      <c r="Q447" s="1" t="s">
        <v>21</v>
      </c>
      <c r="R447" s="1" t="s">
        <v>1122</v>
      </c>
      <c r="S447" s="1">
        <f t="shared" ca="1" si="6"/>
        <v>0.20391714011625639</v>
      </c>
    </row>
    <row r="448" spans="1:19" x14ac:dyDescent="0.25">
      <c r="A448" s="1" t="s">
        <v>1106</v>
      </c>
      <c r="B448" s="1" t="s">
        <v>1126</v>
      </c>
      <c r="C448" s="1" t="s">
        <v>1108</v>
      </c>
      <c r="D448" s="1" t="s">
        <v>21</v>
      </c>
      <c r="E448" s="1" t="s">
        <v>1127</v>
      </c>
      <c r="F448" s="1" t="s">
        <v>1110</v>
      </c>
      <c r="G448" s="1" t="s">
        <v>1108</v>
      </c>
      <c r="H448" s="1" t="s">
        <v>21</v>
      </c>
      <c r="I448" s="1" t="s">
        <v>1108</v>
      </c>
      <c r="J448" s="1" t="s">
        <v>21</v>
      </c>
      <c r="L448" s="1" t="s">
        <v>21</v>
      </c>
      <c r="N448" s="1" t="s">
        <v>21</v>
      </c>
      <c r="O448" s="1" t="s">
        <v>612</v>
      </c>
      <c r="P448">
        <v>0</v>
      </c>
      <c r="Q448" s="1" t="s">
        <v>21</v>
      </c>
      <c r="R448" s="1" t="s">
        <v>1126</v>
      </c>
      <c r="S448" s="1">
        <f t="shared" ca="1" si="6"/>
        <v>0.89194805980054048</v>
      </c>
    </row>
    <row r="449" spans="1:19" x14ac:dyDescent="0.25">
      <c r="A449" s="1" t="s">
        <v>1106</v>
      </c>
      <c r="B449" s="1" t="s">
        <v>1126</v>
      </c>
      <c r="C449" s="1" t="s">
        <v>1112</v>
      </c>
      <c r="D449" s="1" t="s">
        <v>21</v>
      </c>
      <c r="E449" s="1" t="s">
        <v>1128</v>
      </c>
      <c r="F449" s="1" t="s">
        <v>1110</v>
      </c>
      <c r="G449" s="1" t="s">
        <v>1112</v>
      </c>
      <c r="H449" s="1" t="s">
        <v>21</v>
      </c>
      <c r="I449" s="1" t="s">
        <v>1112</v>
      </c>
      <c r="J449" s="1" t="s">
        <v>21</v>
      </c>
      <c r="L449" s="1" t="s">
        <v>21</v>
      </c>
      <c r="N449" s="1" t="s">
        <v>21</v>
      </c>
      <c r="O449" s="1" t="s">
        <v>1129</v>
      </c>
      <c r="P449">
        <v>0</v>
      </c>
      <c r="Q449" s="1" t="s">
        <v>21</v>
      </c>
      <c r="R449" s="1" t="s">
        <v>1126</v>
      </c>
      <c r="S449" s="1">
        <f t="shared" ca="1" si="6"/>
        <v>0.86133163899833076</v>
      </c>
    </row>
    <row r="450" spans="1:19" x14ac:dyDescent="0.25">
      <c r="A450" s="1" t="s">
        <v>1106</v>
      </c>
      <c r="B450" s="1" t="s">
        <v>1126</v>
      </c>
      <c r="C450" s="1" t="s">
        <v>1115</v>
      </c>
      <c r="D450" s="1" t="s">
        <v>21</v>
      </c>
      <c r="E450" s="1" t="s">
        <v>1128</v>
      </c>
      <c r="F450" s="1" t="s">
        <v>1110</v>
      </c>
      <c r="G450" s="1" t="s">
        <v>1115</v>
      </c>
      <c r="H450" s="1" t="s">
        <v>21</v>
      </c>
      <c r="I450" s="1" t="s">
        <v>1115</v>
      </c>
      <c r="J450" s="1" t="s">
        <v>21</v>
      </c>
      <c r="L450" s="1" t="s">
        <v>21</v>
      </c>
      <c r="N450" s="1" t="s">
        <v>21</v>
      </c>
      <c r="O450" s="1" t="s">
        <v>1129</v>
      </c>
      <c r="P450">
        <v>0</v>
      </c>
      <c r="Q450" s="1" t="s">
        <v>21</v>
      </c>
      <c r="R450" s="1" t="s">
        <v>1126</v>
      </c>
      <c r="S450" s="1">
        <f t="shared" ref="S450:S513" ca="1" si="7">RAND()</f>
        <v>0.4538452777161488</v>
      </c>
    </row>
    <row r="451" spans="1:19" x14ac:dyDescent="0.25">
      <c r="A451" s="1" t="s">
        <v>1106</v>
      </c>
      <c r="B451" s="1" t="s">
        <v>1130</v>
      </c>
      <c r="C451" s="1" t="s">
        <v>1108</v>
      </c>
      <c r="D451" s="1" t="s">
        <v>21</v>
      </c>
      <c r="E451" s="1" t="s">
        <v>1131</v>
      </c>
      <c r="F451" s="1" t="s">
        <v>1110</v>
      </c>
      <c r="G451" s="1" t="s">
        <v>1108</v>
      </c>
      <c r="H451" s="1" t="s">
        <v>21</v>
      </c>
      <c r="I451" s="1" t="s">
        <v>1108</v>
      </c>
      <c r="J451" s="1" t="s">
        <v>21</v>
      </c>
      <c r="L451" s="1" t="s">
        <v>21</v>
      </c>
      <c r="N451" s="1" t="s">
        <v>21</v>
      </c>
      <c r="O451" s="1" t="s">
        <v>561</v>
      </c>
      <c r="P451">
        <v>0</v>
      </c>
      <c r="Q451" s="1" t="s">
        <v>21</v>
      </c>
      <c r="R451" s="1" t="s">
        <v>1130</v>
      </c>
      <c r="S451" s="1">
        <f t="shared" ca="1" si="7"/>
        <v>0.23661889741606912</v>
      </c>
    </row>
    <row r="452" spans="1:19" x14ac:dyDescent="0.25">
      <c r="A452" s="1" t="s">
        <v>1106</v>
      </c>
      <c r="B452" s="1" t="s">
        <v>1130</v>
      </c>
      <c r="C452" s="1" t="s">
        <v>1112</v>
      </c>
      <c r="D452" s="1" t="s">
        <v>21</v>
      </c>
      <c r="E452" s="1" t="s">
        <v>1132</v>
      </c>
      <c r="F452" s="1" t="s">
        <v>1110</v>
      </c>
      <c r="G452" s="1" t="s">
        <v>1112</v>
      </c>
      <c r="H452" s="1" t="s">
        <v>21</v>
      </c>
      <c r="I452" s="1" t="s">
        <v>1112</v>
      </c>
      <c r="J452" s="1" t="s">
        <v>21</v>
      </c>
      <c r="L452" s="1" t="s">
        <v>21</v>
      </c>
      <c r="N452" s="1" t="s">
        <v>21</v>
      </c>
      <c r="O452" s="1" t="s">
        <v>524</v>
      </c>
      <c r="P452">
        <v>0</v>
      </c>
      <c r="Q452" s="1" t="s">
        <v>21</v>
      </c>
      <c r="R452" s="1" t="s">
        <v>1130</v>
      </c>
      <c r="S452" s="1">
        <f t="shared" ca="1" si="7"/>
        <v>0.7949166552229403</v>
      </c>
    </row>
    <row r="453" spans="1:19" x14ac:dyDescent="0.25">
      <c r="A453" s="1" t="s">
        <v>1106</v>
      </c>
      <c r="B453" s="1" t="s">
        <v>1130</v>
      </c>
      <c r="C453" s="1" t="s">
        <v>1115</v>
      </c>
      <c r="D453" s="1" t="s">
        <v>21</v>
      </c>
      <c r="E453" s="1" t="s">
        <v>1133</v>
      </c>
      <c r="F453" s="1" t="s">
        <v>1110</v>
      </c>
      <c r="G453" s="1" t="s">
        <v>1115</v>
      </c>
      <c r="H453" s="1" t="s">
        <v>21</v>
      </c>
      <c r="I453" s="1" t="s">
        <v>1115</v>
      </c>
      <c r="J453" s="1" t="s">
        <v>21</v>
      </c>
      <c r="L453" s="1" t="s">
        <v>21</v>
      </c>
      <c r="N453" s="1" t="s">
        <v>21</v>
      </c>
      <c r="O453" s="1" t="s">
        <v>1134</v>
      </c>
      <c r="P453">
        <v>0</v>
      </c>
      <c r="Q453" s="1" t="s">
        <v>21</v>
      </c>
      <c r="R453" s="1" t="s">
        <v>1130</v>
      </c>
      <c r="S453" s="1">
        <f t="shared" ca="1" si="7"/>
        <v>0.98533684622578721</v>
      </c>
    </row>
    <row r="454" spans="1:19" x14ac:dyDescent="0.25">
      <c r="A454" s="1" t="s">
        <v>1106</v>
      </c>
      <c r="B454" s="1" t="s">
        <v>1135</v>
      </c>
      <c r="C454" s="1" t="s">
        <v>1108</v>
      </c>
      <c r="D454" s="1" t="s">
        <v>21</v>
      </c>
      <c r="E454" s="1" t="s">
        <v>1136</v>
      </c>
      <c r="F454" s="1" t="s">
        <v>1110</v>
      </c>
      <c r="G454" s="1" t="s">
        <v>1108</v>
      </c>
      <c r="H454" s="1" t="s">
        <v>21</v>
      </c>
      <c r="I454" s="1" t="s">
        <v>1108</v>
      </c>
      <c r="J454" s="1" t="s">
        <v>21</v>
      </c>
      <c r="L454" s="1" t="s">
        <v>21</v>
      </c>
      <c r="N454" s="1" t="s">
        <v>21</v>
      </c>
      <c r="O454" s="1" t="s">
        <v>778</v>
      </c>
      <c r="P454">
        <v>0</v>
      </c>
      <c r="Q454" s="1" t="s">
        <v>21</v>
      </c>
      <c r="R454" s="1" t="s">
        <v>1135</v>
      </c>
      <c r="S454" s="1">
        <f t="shared" ca="1" si="7"/>
        <v>0.71090779058857789</v>
      </c>
    </row>
    <row r="455" spans="1:19" x14ac:dyDescent="0.25">
      <c r="A455" s="1" t="s">
        <v>1106</v>
      </c>
      <c r="B455" s="1" t="s">
        <v>1135</v>
      </c>
      <c r="C455" s="1" t="s">
        <v>1115</v>
      </c>
      <c r="D455" s="1" t="s">
        <v>21</v>
      </c>
      <c r="E455" s="1" t="s">
        <v>1137</v>
      </c>
      <c r="F455" s="1" t="s">
        <v>1110</v>
      </c>
      <c r="G455" s="1" t="s">
        <v>1115</v>
      </c>
      <c r="H455" s="1" t="s">
        <v>21</v>
      </c>
      <c r="I455" s="1" t="s">
        <v>1115</v>
      </c>
      <c r="J455" s="1" t="s">
        <v>21</v>
      </c>
      <c r="L455" s="1" t="s">
        <v>21</v>
      </c>
      <c r="N455" s="1" t="s">
        <v>21</v>
      </c>
      <c r="O455" s="1" t="s">
        <v>935</v>
      </c>
      <c r="P455">
        <v>0</v>
      </c>
      <c r="Q455" s="1" t="s">
        <v>21</v>
      </c>
      <c r="R455" s="1" t="s">
        <v>1135</v>
      </c>
      <c r="S455" s="1">
        <f t="shared" ca="1" si="7"/>
        <v>0.49622238877726199</v>
      </c>
    </row>
    <row r="456" spans="1:19" x14ac:dyDescent="0.25">
      <c r="A456" s="1" t="s">
        <v>1106</v>
      </c>
      <c r="B456" s="1" t="s">
        <v>1138</v>
      </c>
      <c r="C456" s="1" t="s">
        <v>1108</v>
      </c>
      <c r="D456" s="1" t="s">
        <v>21</v>
      </c>
      <c r="E456" s="1" t="s">
        <v>1139</v>
      </c>
      <c r="F456" s="1" t="s">
        <v>1110</v>
      </c>
      <c r="G456" s="1" t="s">
        <v>1108</v>
      </c>
      <c r="H456" s="1" t="s">
        <v>21</v>
      </c>
      <c r="I456" s="1" t="s">
        <v>1108</v>
      </c>
      <c r="J456" s="1" t="s">
        <v>21</v>
      </c>
      <c r="L456" s="1" t="s">
        <v>21</v>
      </c>
      <c r="N456" s="1" t="s">
        <v>21</v>
      </c>
      <c r="O456" s="1" t="s">
        <v>778</v>
      </c>
      <c r="P456">
        <v>0</v>
      </c>
      <c r="Q456" s="1" t="s">
        <v>21</v>
      </c>
      <c r="R456" s="1" t="s">
        <v>1138</v>
      </c>
      <c r="S456" s="1">
        <f t="shared" ca="1" si="7"/>
        <v>0.55997506164858502</v>
      </c>
    </row>
    <row r="457" spans="1:19" x14ac:dyDescent="0.25">
      <c r="A457" s="1" t="s">
        <v>1106</v>
      </c>
      <c r="B457" s="1" t="s">
        <v>1138</v>
      </c>
      <c r="C457" s="1" t="s">
        <v>1112</v>
      </c>
      <c r="D457" s="1" t="s">
        <v>21</v>
      </c>
      <c r="E457" s="1" t="s">
        <v>1139</v>
      </c>
      <c r="F457" s="1" t="s">
        <v>1110</v>
      </c>
      <c r="G457" s="1" t="s">
        <v>1112</v>
      </c>
      <c r="H457" s="1" t="s">
        <v>21</v>
      </c>
      <c r="I457" s="1" t="s">
        <v>1112</v>
      </c>
      <c r="J457" s="1" t="s">
        <v>21</v>
      </c>
      <c r="L457" s="1" t="s">
        <v>21</v>
      </c>
      <c r="N457" s="1" t="s">
        <v>21</v>
      </c>
      <c r="O457" s="1" t="s">
        <v>778</v>
      </c>
      <c r="P457">
        <v>0</v>
      </c>
      <c r="Q457" s="1" t="s">
        <v>21</v>
      </c>
      <c r="R457" s="1" t="s">
        <v>1138</v>
      </c>
      <c r="S457" s="1">
        <f t="shared" ca="1" si="7"/>
        <v>0.59066342748546552</v>
      </c>
    </row>
    <row r="458" spans="1:19" x14ac:dyDescent="0.25">
      <c r="A458" s="1" t="s">
        <v>1106</v>
      </c>
      <c r="B458" s="1" t="s">
        <v>1138</v>
      </c>
      <c r="C458" s="1" t="s">
        <v>1115</v>
      </c>
      <c r="D458" s="1" t="s">
        <v>21</v>
      </c>
      <c r="E458" s="1" t="s">
        <v>1140</v>
      </c>
      <c r="F458" s="1" t="s">
        <v>1110</v>
      </c>
      <c r="G458" s="1" t="s">
        <v>1115</v>
      </c>
      <c r="H458" s="1" t="s">
        <v>21</v>
      </c>
      <c r="I458" s="1" t="s">
        <v>1115</v>
      </c>
      <c r="J458" s="1" t="s">
        <v>21</v>
      </c>
      <c r="L458" s="1" t="s">
        <v>21</v>
      </c>
      <c r="N458" s="1" t="s">
        <v>21</v>
      </c>
      <c r="O458" s="1" t="s">
        <v>624</v>
      </c>
      <c r="P458">
        <v>0</v>
      </c>
      <c r="Q458" s="1" t="s">
        <v>21</v>
      </c>
      <c r="R458" s="1" t="s">
        <v>1138</v>
      </c>
      <c r="S458" s="1">
        <f t="shared" ca="1" si="7"/>
        <v>0.71429229717835296</v>
      </c>
    </row>
    <row r="459" spans="1:19" x14ac:dyDescent="0.25">
      <c r="A459" s="1" t="s">
        <v>1106</v>
      </c>
      <c r="B459" s="1" t="s">
        <v>1141</v>
      </c>
      <c r="C459" s="1" t="s">
        <v>1108</v>
      </c>
      <c r="D459" s="1" t="s">
        <v>21</v>
      </c>
      <c r="E459" s="1" t="s">
        <v>1142</v>
      </c>
      <c r="F459" s="1" t="s">
        <v>1110</v>
      </c>
      <c r="G459" s="1" t="s">
        <v>1108</v>
      </c>
      <c r="H459" s="1" t="s">
        <v>21</v>
      </c>
      <c r="I459" s="1" t="s">
        <v>1108</v>
      </c>
      <c r="J459" s="1" t="s">
        <v>21</v>
      </c>
      <c r="L459" s="1" t="s">
        <v>21</v>
      </c>
      <c r="N459" s="1" t="s">
        <v>21</v>
      </c>
      <c r="O459" s="1" t="s">
        <v>1042</v>
      </c>
      <c r="P459">
        <v>0</v>
      </c>
      <c r="Q459" s="1" t="s">
        <v>21</v>
      </c>
      <c r="R459" s="1" t="s">
        <v>1141</v>
      </c>
      <c r="S459" s="1">
        <f t="shared" ca="1" si="7"/>
        <v>0.37884513214802884</v>
      </c>
    </row>
    <row r="460" spans="1:19" x14ac:dyDescent="0.25">
      <c r="A460" s="1" t="s">
        <v>1106</v>
      </c>
      <c r="B460" s="1" t="s">
        <v>1141</v>
      </c>
      <c r="C460" s="1" t="s">
        <v>1112</v>
      </c>
      <c r="D460" s="1" t="s">
        <v>21</v>
      </c>
      <c r="E460" s="1" t="s">
        <v>1143</v>
      </c>
      <c r="F460" s="1" t="s">
        <v>1110</v>
      </c>
      <c r="G460" s="1" t="s">
        <v>1112</v>
      </c>
      <c r="H460" s="1" t="s">
        <v>21</v>
      </c>
      <c r="I460" s="1" t="s">
        <v>1112</v>
      </c>
      <c r="J460" s="1" t="s">
        <v>21</v>
      </c>
      <c r="L460" s="1" t="s">
        <v>21</v>
      </c>
      <c r="N460" s="1" t="s">
        <v>21</v>
      </c>
      <c r="O460" s="1" t="s">
        <v>794</v>
      </c>
      <c r="P460">
        <v>0</v>
      </c>
      <c r="Q460" s="1" t="s">
        <v>21</v>
      </c>
      <c r="R460" s="1" t="s">
        <v>1141</v>
      </c>
      <c r="S460" s="1">
        <f t="shared" ca="1" si="7"/>
        <v>0.25173265894881336</v>
      </c>
    </row>
    <row r="461" spans="1:19" x14ac:dyDescent="0.25">
      <c r="A461" s="1" t="s">
        <v>1106</v>
      </c>
      <c r="B461" s="1" t="s">
        <v>1141</v>
      </c>
      <c r="C461" s="1" t="s">
        <v>1115</v>
      </c>
      <c r="D461" s="1" t="s">
        <v>21</v>
      </c>
      <c r="E461" s="1" t="s">
        <v>1144</v>
      </c>
      <c r="F461" s="1" t="s">
        <v>1110</v>
      </c>
      <c r="G461" s="1" t="s">
        <v>1115</v>
      </c>
      <c r="H461" s="1" t="s">
        <v>21</v>
      </c>
      <c r="I461" s="1" t="s">
        <v>1115</v>
      </c>
      <c r="J461" s="1" t="s">
        <v>21</v>
      </c>
      <c r="L461" s="1" t="s">
        <v>21</v>
      </c>
      <c r="N461" s="1" t="s">
        <v>21</v>
      </c>
      <c r="O461" s="1" t="s">
        <v>1145</v>
      </c>
      <c r="P461">
        <v>0</v>
      </c>
      <c r="Q461" s="1" t="s">
        <v>21</v>
      </c>
      <c r="R461" s="1" t="s">
        <v>1141</v>
      </c>
      <c r="S461" s="1">
        <f t="shared" ca="1" si="7"/>
        <v>0.63112167007534992</v>
      </c>
    </row>
    <row r="462" spans="1:19" x14ac:dyDescent="0.25">
      <c r="A462" s="1" t="s">
        <v>1106</v>
      </c>
      <c r="B462" s="1" t="s">
        <v>1146</v>
      </c>
      <c r="C462" s="1" t="s">
        <v>1108</v>
      </c>
      <c r="D462" s="1" t="s">
        <v>21</v>
      </c>
      <c r="E462" s="1" t="s">
        <v>1147</v>
      </c>
      <c r="F462" s="1" t="s">
        <v>1110</v>
      </c>
      <c r="G462" s="1" t="s">
        <v>1108</v>
      </c>
      <c r="H462" s="1" t="s">
        <v>21</v>
      </c>
      <c r="I462" s="1" t="s">
        <v>1108</v>
      </c>
      <c r="J462" s="1" t="s">
        <v>21</v>
      </c>
      <c r="L462" s="1" t="s">
        <v>21</v>
      </c>
      <c r="N462" s="1" t="s">
        <v>21</v>
      </c>
      <c r="O462" s="1" t="s">
        <v>1057</v>
      </c>
      <c r="P462">
        <v>0</v>
      </c>
      <c r="Q462" s="1" t="s">
        <v>21</v>
      </c>
      <c r="R462" s="1" t="s">
        <v>1146</v>
      </c>
      <c r="S462" s="1">
        <f t="shared" ca="1" si="7"/>
        <v>0.56852940392311235</v>
      </c>
    </row>
    <row r="463" spans="1:19" x14ac:dyDescent="0.25">
      <c r="A463" s="1" t="s">
        <v>1106</v>
      </c>
      <c r="B463" s="1" t="s">
        <v>1146</v>
      </c>
      <c r="C463" s="1" t="s">
        <v>1112</v>
      </c>
      <c r="D463" s="1" t="s">
        <v>21</v>
      </c>
      <c r="E463" s="1" t="s">
        <v>1148</v>
      </c>
      <c r="F463" s="1" t="s">
        <v>1110</v>
      </c>
      <c r="G463" s="1" t="s">
        <v>1112</v>
      </c>
      <c r="H463" s="1" t="s">
        <v>21</v>
      </c>
      <c r="I463" s="1" t="s">
        <v>1112</v>
      </c>
      <c r="J463" s="1" t="s">
        <v>21</v>
      </c>
      <c r="L463" s="1" t="s">
        <v>21</v>
      </c>
      <c r="N463" s="1" t="s">
        <v>21</v>
      </c>
      <c r="O463" s="1" t="s">
        <v>1013</v>
      </c>
      <c r="P463">
        <v>0</v>
      </c>
      <c r="Q463" s="1" t="s">
        <v>21</v>
      </c>
      <c r="R463" s="1" t="s">
        <v>1146</v>
      </c>
      <c r="S463" s="1">
        <f t="shared" ca="1" si="7"/>
        <v>0.72540539957927685</v>
      </c>
    </row>
    <row r="464" spans="1:19" x14ac:dyDescent="0.25">
      <c r="A464" s="1" t="s">
        <v>1106</v>
      </c>
      <c r="B464" s="1" t="s">
        <v>1146</v>
      </c>
      <c r="C464" s="1" t="s">
        <v>1115</v>
      </c>
      <c r="D464" s="1" t="s">
        <v>21</v>
      </c>
      <c r="E464" s="1" t="s">
        <v>1149</v>
      </c>
      <c r="F464" s="1" t="s">
        <v>1110</v>
      </c>
      <c r="G464" s="1" t="s">
        <v>1115</v>
      </c>
      <c r="H464" s="1" t="s">
        <v>21</v>
      </c>
      <c r="I464" s="1" t="s">
        <v>1115</v>
      </c>
      <c r="J464" s="1" t="s">
        <v>21</v>
      </c>
      <c r="L464" s="1" t="s">
        <v>21</v>
      </c>
      <c r="N464" s="1" t="s">
        <v>21</v>
      </c>
      <c r="O464" s="1" t="s">
        <v>441</v>
      </c>
      <c r="P464">
        <v>0</v>
      </c>
      <c r="Q464" s="1" t="s">
        <v>21</v>
      </c>
      <c r="R464" s="1" t="s">
        <v>1146</v>
      </c>
      <c r="S464" s="1">
        <f t="shared" ca="1" si="7"/>
        <v>0.9752821153723521</v>
      </c>
    </row>
    <row r="465" spans="1:19" x14ac:dyDescent="0.25">
      <c r="A465" s="1" t="s">
        <v>1106</v>
      </c>
      <c r="B465" s="1" t="s">
        <v>1150</v>
      </c>
      <c r="C465" s="1" t="s">
        <v>1108</v>
      </c>
      <c r="D465" s="1" t="s">
        <v>21</v>
      </c>
      <c r="E465" s="1" t="s">
        <v>1151</v>
      </c>
      <c r="F465" s="1" t="s">
        <v>1110</v>
      </c>
      <c r="G465" s="1" t="s">
        <v>1108</v>
      </c>
      <c r="H465" s="1" t="s">
        <v>21</v>
      </c>
      <c r="I465" s="1" t="s">
        <v>1108</v>
      </c>
      <c r="J465" s="1" t="s">
        <v>21</v>
      </c>
      <c r="L465" s="1" t="s">
        <v>21</v>
      </c>
      <c r="N465" s="1" t="s">
        <v>21</v>
      </c>
      <c r="O465" s="1" t="s">
        <v>1152</v>
      </c>
      <c r="P465">
        <v>0</v>
      </c>
      <c r="Q465" s="1" t="s">
        <v>21</v>
      </c>
      <c r="R465" s="1" t="s">
        <v>1150</v>
      </c>
      <c r="S465" s="1">
        <f t="shared" ca="1" si="7"/>
        <v>5.081712185597187E-2</v>
      </c>
    </row>
    <row r="466" spans="1:19" x14ac:dyDescent="0.25">
      <c r="A466" s="1" t="s">
        <v>1106</v>
      </c>
      <c r="B466" s="1" t="s">
        <v>1150</v>
      </c>
      <c r="C466" s="1" t="s">
        <v>1112</v>
      </c>
      <c r="D466" s="1" t="s">
        <v>21</v>
      </c>
      <c r="E466" s="1" t="s">
        <v>1153</v>
      </c>
      <c r="F466" s="1" t="s">
        <v>1110</v>
      </c>
      <c r="G466" s="1" t="s">
        <v>1112</v>
      </c>
      <c r="H466" s="1" t="s">
        <v>21</v>
      </c>
      <c r="I466" s="1" t="s">
        <v>1112</v>
      </c>
      <c r="J466" s="1" t="s">
        <v>21</v>
      </c>
      <c r="L466" s="1" t="s">
        <v>21</v>
      </c>
      <c r="N466" s="1" t="s">
        <v>21</v>
      </c>
      <c r="O466" s="1" t="s">
        <v>1121</v>
      </c>
      <c r="P466">
        <v>0</v>
      </c>
      <c r="Q466" s="1" t="s">
        <v>21</v>
      </c>
      <c r="R466" s="1" t="s">
        <v>1150</v>
      </c>
      <c r="S466" s="1">
        <f t="shared" ca="1" si="7"/>
        <v>0.97573338676858645</v>
      </c>
    </row>
    <row r="467" spans="1:19" x14ac:dyDescent="0.25">
      <c r="A467" s="1" t="s">
        <v>1106</v>
      </c>
      <c r="B467" s="1" t="s">
        <v>1150</v>
      </c>
      <c r="C467" s="1" t="s">
        <v>1115</v>
      </c>
      <c r="D467" s="1" t="s">
        <v>21</v>
      </c>
      <c r="E467" s="1" t="s">
        <v>1154</v>
      </c>
      <c r="F467" s="1" t="s">
        <v>1110</v>
      </c>
      <c r="G467" s="1" t="s">
        <v>1115</v>
      </c>
      <c r="H467" s="1" t="s">
        <v>21</v>
      </c>
      <c r="I467" s="1" t="s">
        <v>1115</v>
      </c>
      <c r="J467" s="1" t="s">
        <v>21</v>
      </c>
      <c r="L467" s="1" t="s">
        <v>21</v>
      </c>
      <c r="N467" s="1" t="s">
        <v>21</v>
      </c>
      <c r="O467" s="1" t="s">
        <v>1114</v>
      </c>
      <c r="P467">
        <v>0</v>
      </c>
      <c r="Q467" s="1" t="s">
        <v>21</v>
      </c>
      <c r="R467" s="1" t="s">
        <v>1150</v>
      </c>
      <c r="S467" s="1">
        <f t="shared" ca="1" si="7"/>
        <v>0.77757332473632568</v>
      </c>
    </row>
    <row r="468" spans="1:19" x14ac:dyDescent="0.25">
      <c r="A468" s="1" t="s">
        <v>1106</v>
      </c>
      <c r="B468" s="1" t="s">
        <v>1155</v>
      </c>
      <c r="C468" s="1" t="s">
        <v>1108</v>
      </c>
      <c r="D468" s="1" t="s">
        <v>21</v>
      </c>
      <c r="E468" s="1" t="s">
        <v>1156</v>
      </c>
      <c r="F468" s="1" t="s">
        <v>1110</v>
      </c>
      <c r="G468" s="1" t="s">
        <v>1108</v>
      </c>
      <c r="H468" s="1" t="s">
        <v>21</v>
      </c>
      <c r="I468" s="1" t="s">
        <v>1108</v>
      </c>
      <c r="J468" s="1" t="s">
        <v>21</v>
      </c>
      <c r="L468" s="1" t="s">
        <v>21</v>
      </c>
      <c r="N468" s="1" t="s">
        <v>21</v>
      </c>
      <c r="O468" s="1" t="s">
        <v>497</v>
      </c>
      <c r="P468">
        <v>0</v>
      </c>
      <c r="Q468" s="1" t="s">
        <v>21</v>
      </c>
      <c r="R468" s="1" t="s">
        <v>1155</v>
      </c>
      <c r="S468" s="1">
        <f t="shared" ca="1" si="7"/>
        <v>0.6814163331150126</v>
      </c>
    </row>
    <row r="469" spans="1:19" x14ac:dyDescent="0.25">
      <c r="A469" s="1" t="s">
        <v>1106</v>
      </c>
      <c r="B469" s="1" t="s">
        <v>1155</v>
      </c>
      <c r="C469" s="1" t="s">
        <v>1112</v>
      </c>
      <c r="D469" s="1" t="s">
        <v>21</v>
      </c>
      <c r="E469" s="1" t="s">
        <v>1157</v>
      </c>
      <c r="F469" s="1" t="s">
        <v>1110</v>
      </c>
      <c r="G469" s="1" t="s">
        <v>1112</v>
      </c>
      <c r="H469" s="1" t="s">
        <v>21</v>
      </c>
      <c r="I469" s="1" t="s">
        <v>1112</v>
      </c>
      <c r="J469" s="1" t="s">
        <v>21</v>
      </c>
      <c r="L469" s="1" t="s">
        <v>21</v>
      </c>
      <c r="N469" s="1" t="s">
        <v>21</v>
      </c>
      <c r="O469" s="1" t="s">
        <v>796</v>
      </c>
      <c r="P469">
        <v>0</v>
      </c>
      <c r="Q469" s="1" t="s">
        <v>21</v>
      </c>
      <c r="R469" s="1" t="s">
        <v>1155</v>
      </c>
      <c r="S469" s="1">
        <f t="shared" ca="1" si="7"/>
        <v>0.87581742700867382</v>
      </c>
    </row>
    <row r="470" spans="1:19" x14ac:dyDescent="0.25">
      <c r="A470" s="1" t="s">
        <v>1106</v>
      </c>
      <c r="B470" s="1" t="s">
        <v>1155</v>
      </c>
      <c r="C470" s="1" t="s">
        <v>1115</v>
      </c>
      <c r="D470" s="1" t="s">
        <v>21</v>
      </c>
      <c r="E470" s="1" t="s">
        <v>1158</v>
      </c>
      <c r="F470" s="1" t="s">
        <v>1110</v>
      </c>
      <c r="G470" s="1" t="s">
        <v>1115</v>
      </c>
      <c r="H470" s="1" t="s">
        <v>21</v>
      </c>
      <c r="I470" s="1" t="s">
        <v>1115</v>
      </c>
      <c r="J470" s="1" t="s">
        <v>21</v>
      </c>
      <c r="L470" s="1" t="s">
        <v>21</v>
      </c>
      <c r="N470" s="1" t="s">
        <v>21</v>
      </c>
      <c r="O470" s="1" t="s">
        <v>457</v>
      </c>
      <c r="P470">
        <v>0</v>
      </c>
      <c r="Q470" s="1" t="s">
        <v>21</v>
      </c>
      <c r="R470" s="1" t="s">
        <v>1155</v>
      </c>
      <c r="S470" s="1">
        <f t="shared" ca="1" si="7"/>
        <v>0.29745431181012483</v>
      </c>
    </row>
    <row r="471" spans="1:19" x14ac:dyDescent="0.25">
      <c r="A471" s="1" t="s">
        <v>1106</v>
      </c>
      <c r="B471" s="1" t="s">
        <v>1159</v>
      </c>
      <c r="C471" s="1" t="s">
        <v>1108</v>
      </c>
      <c r="D471" s="1" t="s">
        <v>21</v>
      </c>
      <c r="E471" s="1" t="s">
        <v>1160</v>
      </c>
      <c r="F471" s="1" t="s">
        <v>1110</v>
      </c>
      <c r="G471" s="1" t="s">
        <v>1108</v>
      </c>
      <c r="H471" s="1" t="s">
        <v>21</v>
      </c>
      <c r="I471" s="1" t="s">
        <v>1108</v>
      </c>
      <c r="J471" s="1" t="s">
        <v>21</v>
      </c>
      <c r="L471" s="1" t="s">
        <v>21</v>
      </c>
      <c r="N471" s="1" t="s">
        <v>21</v>
      </c>
      <c r="O471" s="1" t="s">
        <v>1161</v>
      </c>
      <c r="P471">
        <v>0</v>
      </c>
      <c r="Q471" s="1" t="s">
        <v>21</v>
      </c>
      <c r="R471" s="1" t="s">
        <v>1159</v>
      </c>
      <c r="S471" s="1">
        <f t="shared" ca="1" si="7"/>
        <v>8.4635193522097474E-2</v>
      </c>
    </row>
    <row r="472" spans="1:19" x14ac:dyDescent="0.25">
      <c r="A472" s="1" t="s">
        <v>1106</v>
      </c>
      <c r="B472" s="1" t="s">
        <v>1159</v>
      </c>
      <c r="C472" s="1" t="s">
        <v>1112</v>
      </c>
      <c r="D472" s="1" t="s">
        <v>21</v>
      </c>
      <c r="E472" s="1" t="s">
        <v>1162</v>
      </c>
      <c r="F472" s="1" t="s">
        <v>1110</v>
      </c>
      <c r="G472" s="1" t="s">
        <v>1112</v>
      </c>
      <c r="H472" s="1" t="s">
        <v>21</v>
      </c>
      <c r="I472" s="1" t="s">
        <v>1112</v>
      </c>
      <c r="J472" s="1" t="s">
        <v>21</v>
      </c>
      <c r="L472" s="1" t="s">
        <v>21</v>
      </c>
      <c r="N472" s="1" t="s">
        <v>21</v>
      </c>
      <c r="O472" s="1" t="s">
        <v>1046</v>
      </c>
      <c r="P472">
        <v>0</v>
      </c>
      <c r="Q472" s="1" t="s">
        <v>21</v>
      </c>
      <c r="R472" s="1" t="s">
        <v>1159</v>
      </c>
      <c r="S472" s="1">
        <f t="shared" ca="1" si="7"/>
        <v>8.5165822126444413E-2</v>
      </c>
    </row>
    <row r="473" spans="1:19" x14ac:dyDescent="0.25">
      <c r="A473" s="1" t="s">
        <v>1106</v>
      </c>
      <c r="B473" s="1" t="s">
        <v>1159</v>
      </c>
      <c r="C473" s="1" t="s">
        <v>1115</v>
      </c>
      <c r="D473" s="1" t="s">
        <v>21</v>
      </c>
      <c r="E473" s="1" t="s">
        <v>1163</v>
      </c>
      <c r="F473" s="1" t="s">
        <v>1110</v>
      </c>
      <c r="G473" s="1" t="s">
        <v>1115</v>
      </c>
      <c r="H473" s="1" t="s">
        <v>21</v>
      </c>
      <c r="I473" s="1" t="s">
        <v>1115</v>
      </c>
      <c r="J473" s="1" t="s">
        <v>21</v>
      </c>
      <c r="L473" s="1" t="s">
        <v>21</v>
      </c>
      <c r="N473" s="1" t="s">
        <v>21</v>
      </c>
      <c r="O473" s="1" t="s">
        <v>1121</v>
      </c>
      <c r="P473">
        <v>0</v>
      </c>
      <c r="Q473" s="1" t="s">
        <v>21</v>
      </c>
      <c r="R473" s="1" t="s">
        <v>1159</v>
      </c>
      <c r="S473" s="1">
        <f t="shared" ca="1" si="7"/>
        <v>0.60431041543311992</v>
      </c>
    </row>
    <row r="474" spans="1:19" x14ac:dyDescent="0.25">
      <c r="A474" s="1" t="s">
        <v>1164</v>
      </c>
      <c r="B474" s="1" t="s">
        <v>1165</v>
      </c>
      <c r="C474" s="1" t="s">
        <v>1166</v>
      </c>
      <c r="D474" s="1" t="s">
        <v>21</v>
      </c>
      <c r="E474" s="1" t="s">
        <v>1167</v>
      </c>
      <c r="F474" s="1" t="s">
        <v>1168</v>
      </c>
      <c r="G474" s="1" t="s">
        <v>314</v>
      </c>
      <c r="H474" s="1" t="s">
        <v>1169</v>
      </c>
      <c r="I474" s="1" t="s">
        <v>157</v>
      </c>
      <c r="J474" s="1" t="s">
        <v>1169</v>
      </c>
      <c r="L474" s="1" t="s">
        <v>21</v>
      </c>
      <c r="N474" s="1" t="s">
        <v>21</v>
      </c>
      <c r="O474" s="1" t="s">
        <v>1170</v>
      </c>
      <c r="P474">
        <v>0.03</v>
      </c>
      <c r="Q474" s="1" t="s">
        <v>1169</v>
      </c>
      <c r="R474" s="1" t="s">
        <v>338</v>
      </c>
      <c r="S474" s="1">
        <f t="shared" ca="1" si="7"/>
        <v>0.74293319983480599</v>
      </c>
    </row>
    <row r="475" spans="1:19" x14ac:dyDescent="0.25">
      <c r="A475" s="1" t="s">
        <v>1164</v>
      </c>
      <c r="B475" s="1" t="s">
        <v>1171</v>
      </c>
      <c r="C475" s="1" t="s">
        <v>1172</v>
      </c>
      <c r="D475" s="1" t="s">
        <v>21</v>
      </c>
      <c r="E475" s="1" t="s">
        <v>1173</v>
      </c>
      <c r="F475" s="1" t="s">
        <v>1168</v>
      </c>
      <c r="G475" s="1" t="s">
        <v>440</v>
      </c>
      <c r="H475" s="1" t="s">
        <v>1169</v>
      </c>
      <c r="I475" s="1" t="s">
        <v>453</v>
      </c>
      <c r="J475" s="1" t="s">
        <v>1169</v>
      </c>
      <c r="L475" s="1" t="s">
        <v>21</v>
      </c>
      <c r="N475" s="1" t="s">
        <v>21</v>
      </c>
      <c r="O475" s="1" t="s">
        <v>1174</v>
      </c>
      <c r="P475">
        <v>0.02</v>
      </c>
      <c r="Q475" s="1" t="s">
        <v>1169</v>
      </c>
      <c r="R475" s="1" t="s">
        <v>338</v>
      </c>
      <c r="S475" s="1">
        <f t="shared" ca="1" si="7"/>
        <v>0.60909823161398735</v>
      </c>
    </row>
    <row r="476" spans="1:19" x14ac:dyDescent="0.25">
      <c r="A476" s="1" t="s">
        <v>1164</v>
      </c>
      <c r="B476" s="1" t="s">
        <v>1175</v>
      </c>
      <c r="C476" s="1" t="s">
        <v>1176</v>
      </c>
      <c r="D476" s="1" t="s">
        <v>21</v>
      </c>
      <c r="E476" s="1" t="s">
        <v>1177</v>
      </c>
      <c r="F476" s="1" t="s">
        <v>1178</v>
      </c>
      <c r="G476" s="1" t="s">
        <v>467</v>
      </c>
      <c r="H476" s="1" t="s">
        <v>1179</v>
      </c>
      <c r="I476" s="1" t="s">
        <v>103</v>
      </c>
      <c r="J476" s="1" t="s">
        <v>1179</v>
      </c>
      <c r="L476" s="1" t="s">
        <v>21</v>
      </c>
      <c r="N476" s="1" t="s">
        <v>21</v>
      </c>
      <c r="O476" s="1" t="s">
        <v>1111</v>
      </c>
      <c r="P476">
        <v>0</v>
      </c>
      <c r="Q476" s="1" t="s">
        <v>21</v>
      </c>
      <c r="R476" s="1" t="s">
        <v>1179</v>
      </c>
      <c r="S476" s="1">
        <f t="shared" ca="1" si="7"/>
        <v>0.41174037107776185</v>
      </c>
    </row>
    <row r="477" spans="1:19" x14ac:dyDescent="0.25">
      <c r="A477" s="1" t="s">
        <v>1164</v>
      </c>
      <c r="B477" s="1" t="s">
        <v>1180</v>
      </c>
      <c r="C477" s="1" t="s">
        <v>80</v>
      </c>
      <c r="D477" s="1" t="s">
        <v>21</v>
      </c>
      <c r="E477" s="1" t="s">
        <v>1181</v>
      </c>
      <c r="F477" s="1" t="s">
        <v>1178</v>
      </c>
      <c r="G477" s="1" t="s">
        <v>21</v>
      </c>
      <c r="H477" s="1" t="s">
        <v>21</v>
      </c>
      <c r="I477" s="1" t="s">
        <v>80</v>
      </c>
      <c r="J477" s="1" t="s">
        <v>80</v>
      </c>
      <c r="L477" s="1" t="s">
        <v>21</v>
      </c>
      <c r="N477" s="1" t="s">
        <v>21</v>
      </c>
      <c r="O477" s="1" t="s">
        <v>1013</v>
      </c>
      <c r="P477">
        <v>0</v>
      </c>
      <c r="Q477" s="1" t="s">
        <v>21</v>
      </c>
      <c r="R477" s="1" t="s">
        <v>1182</v>
      </c>
      <c r="S477" s="1">
        <f t="shared" ca="1" si="7"/>
        <v>0.3178034262427859</v>
      </c>
    </row>
    <row r="478" spans="1:19" x14ac:dyDescent="0.25">
      <c r="A478" s="1" t="s">
        <v>1183</v>
      </c>
      <c r="B478" s="1" t="s">
        <v>1184</v>
      </c>
      <c r="C478" s="1" t="s">
        <v>1185</v>
      </c>
      <c r="D478" s="1" t="s">
        <v>21</v>
      </c>
      <c r="E478" s="1" t="s">
        <v>1186</v>
      </c>
      <c r="F478" s="1" t="s">
        <v>1187</v>
      </c>
      <c r="G478" s="1" t="s">
        <v>21</v>
      </c>
      <c r="H478" s="1" t="s">
        <v>21</v>
      </c>
      <c r="I478" s="1" t="s">
        <v>1188</v>
      </c>
      <c r="J478" s="1" t="s">
        <v>1189</v>
      </c>
      <c r="L478" s="1" t="s">
        <v>21</v>
      </c>
      <c r="N478" s="1" t="s">
        <v>21</v>
      </c>
      <c r="O478" s="1" t="s">
        <v>944</v>
      </c>
      <c r="P478">
        <v>0</v>
      </c>
      <c r="Q478" s="1" t="s">
        <v>21</v>
      </c>
      <c r="R478" s="1" t="s">
        <v>21</v>
      </c>
      <c r="S478" s="1">
        <f t="shared" ca="1" si="7"/>
        <v>0.21597575565445459</v>
      </c>
    </row>
    <row r="479" spans="1:19" x14ac:dyDescent="0.25">
      <c r="A479" s="1" t="s">
        <v>1183</v>
      </c>
      <c r="B479" s="1" t="s">
        <v>1184</v>
      </c>
      <c r="C479" s="1" t="s">
        <v>1190</v>
      </c>
      <c r="D479" s="1" t="s">
        <v>21</v>
      </c>
      <c r="E479" s="1" t="s">
        <v>1191</v>
      </c>
      <c r="F479" s="1" t="s">
        <v>1192</v>
      </c>
      <c r="G479" s="1" t="s">
        <v>1188</v>
      </c>
      <c r="H479" s="1" t="s">
        <v>1189</v>
      </c>
      <c r="I479" s="1" t="s">
        <v>278</v>
      </c>
      <c r="J479" s="1" t="s">
        <v>1189</v>
      </c>
      <c r="L479" s="1" t="s">
        <v>21</v>
      </c>
      <c r="N479" s="1" t="s">
        <v>21</v>
      </c>
      <c r="O479" s="1" t="s">
        <v>259</v>
      </c>
      <c r="P479">
        <v>0</v>
      </c>
      <c r="Q479" s="1" t="s">
        <v>21</v>
      </c>
      <c r="R479" s="1" t="s">
        <v>21</v>
      </c>
      <c r="S479" s="1">
        <f t="shared" ca="1" si="7"/>
        <v>0.1492175632435081</v>
      </c>
    </row>
    <row r="480" spans="1:19" x14ac:dyDescent="0.25">
      <c r="A480" s="1" t="s">
        <v>1183</v>
      </c>
      <c r="B480" s="1" t="s">
        <v>1193</v>
      </c>
      <c r="C480" s="1" t="s">
        <v>21</v>
      </c>
      <c r="D480" s="1" t="s">
        <v>21</v>
      </c>
      <c r="E480" s="1" t="s">
        <v>1194</v>
      </c>
      <c r="F480" s="1" t="s">
        <v>1192</v>
      </c>
      <c r="G480" s="1" t="s">
        <v>21</v>
      </c>
      <c r="H480" s="1" t="s">
        <v>21</v>
      </c>
      <c r="I480" s="1" t="s">
        <v>21</v>
      </c>
      <c r="J480" s="1" t="s">
        <v>21</v>
      </c>
      <c r="L480" s="1" t="s">
        <v>21</v>
      </c>
      <c r="N480" s="1" t="s">
        <v>21</v>
      </c>
      <c r="O480" s="1" t="s">
        <v>298</v>
      </c>
      <c r="P480">
        <v>0</v>
      </c>
      <c r="Q480" s="1" t="s">
        <v>21</v>
      </c>
      <c r="R480" s="1" t="s">
        <v>670</v>
      </c>
      <c r="S480" s="1">
        <f t="shared" ca="1" si="7"/>
        <v>0.81846321356136831</v>
      </c>
    </row>
    <row r="481" spans="1:19" x14ac:dyDescent="0.25">
      <c r="A481" s="1" t="s">
        <v>1183</v>
      </c>
      <c r="B481" s="1" t="s">
        <v>1195</v>
      </c>
      <c r="C481" s="1" t="s">
        <v>1196</v>
      </c>
      <c r="D481" s="1" t="s">
        <v>21</v>
      </c>
      <c r="E481" s="1" t="s">
        <v>1186</v>
      </c>
      <c r="F481" s="1" t="s">
        <v>1192</v>
      </c>
      <c r="G481" s="1" t="s">
        <v>75</v>
      </c>
      <c r="H481" s="1" t="s">
        <v>1189</v>
      </c>
      <c r="I481" s="1" t="s">
        <v>1197</v>
      </c>
      <c r="J481" s="1" t="s">
        <v>1189</v>
      </c>
      <c r="L481" s="1" t="s">
        <v>21</v>
      </c>
      <c r="N481" s="1" t="s">
        <v>21</v>
      </c>
      <c r="O481" s="1" t="s">
        <v>944</v>
      </c>
      <c r="P481">
        <v>0</v>
      </c>
      <c r="Q481" s="1" t="s">
        <v>21</v>
      </c>
      <c r="R481" s="1" t="s">
        <v>21</v>
      </c>
      <c r="S481" s="1">
        <f t="shared" ca="1" si="7"/>
        <v>0.75928487871786021</v>
      </c>
    </row>
    <row r="482" spans="1:19" x14ac:dyDescent="0.25">
      <c r="A482" s="1" t="s">
        <v>1183</v>
      </c>
      <c r="B482" s="1" t="s">
        <v>1198</v>
      </c>
      <c r="C482" s="1" t="s">
        <v>21</v>
      </c>
      <c r="D482" s="1" t="s">
        <v>21</v>
      </c>
      <c r="E482" s="1" t="s">
        <v>1199</v>
      </c>
      <c r="F482" s="1" t="s">
        <v>1192</v>
      </c>
      <c r="G482" s="1" t="s">
        <v>21</v>
      </c>
      <c r="H482" s="1" t="s">
        <v>21</v>
      </c>
      <c r="I482" s="1" t="s">
        <v>21</v>
      </c>
      <c r="J482" s="1" t="s">
        <v>21</v>
      </c>
      <c r="L482" s="1" t="s">
        <v>21</v>
      </c>
      <c r="N482" s="1" t="s">
        <v>21</v>
      </c>
      <c r="O482" s="1" t="s">
        <v>1200</v>
      </c>
      <c r="P482">
        <v>0</v>
      </c>
      <c r="Q482" s="1" t="s">
        <v>21</v>
      </c>
      <c r="R482" s="1" t="s">
        <v>670</v>
      </c>
      <c r="S482" s="1">
        <f t="shared" ca="1" si="7"/>
        <v>2.9638500278299396E-2</v>
      </c>
    </row>
    <row r="483" spans="1:19" x14ac:dyDescent="0.25">
      <c r="A483" s="1" t="s">
        <v>1201</v>
      </c>
      <c r="B483" s="1" t="s">
        <v>1202</v>
      </c>
      <c r="C483" s="1" t="s">
        <v>1203</v>
      </c>
      <c r="D483" s="1" t="s">
        <v>21</v>
      </c>
      <c r="E483" s="1" t="s">
        <v>1204</v>
      </c>
      <c r="F483" s="1" t="s">
        <v>1205</v>
      </c>
      <c r="G483" s="1" t="s">
        <v>21</v>
      </c>
      <c r="H483" s="1" t="s">
        <v>21</v>
      </c>
      <c r="I483" s="1" t="s">
        <v>57</v>
      </c>
      <c r="J483" s="1" t="s">
        <v>1206</v>
      </c>
      <c r="L483" s="1" t="s">
        <v>21</v>
      </c>
      <c r="N483" s="1" t="s">
        <v>21</v>
      </c>
      <c r="O483" s="1" t="s">
        <v>125</v>
      </c>
      <c r="P483">
        <v>0</v>
      </c>
      <c r="Q483" s="1" t="s">
        <v>21</v>
      </c>
      <c r="R483" s="1" t="s">
        <v>1206</v>
      </c>
      <c r="S483" s="1">
        <f t="shared" ca="1" si="7"/>
        <v>5.330876825113362E-2</v>
      </c>
    </row>
    <row r="484" spans="1:19" x14ac:dyDescent="0.25">
      <c r="A484" s="1" t="s">
        <v>1201</v>
      </c>
      <c r="B484" s="1" t="s">
        <v>1202</v>
      </c>
      <c r="C484" s="1" t="s">
        <v>1207</v>
      </c>
      <c r="D484" s="1" t="s">
        <v>21</v>
      </c>
      <c r="E484" s="1" t="s">
        <v>1208</v>
      </c>
      <c r="F484" s="1" t="s">
        <v>1205</v>
      </c>
      <c r="G484" s="1" t="s">
        <v>57</v>
      </c>
      <c r="H484" s="1" t="s">
        <v>1206</v>
      </c>
      <c r="I484" s="1" t="s">
        <v>70</v>
      </c>
      <c r="J484" s="1" t="s">
        <v>1206</v>
      </c>
      <c r="L484" s="1" t="s">
        <v>21</v>
      </c>
      <c r="N484" s="1" t="s">
        <v>21</v>
      </c>
      <c r="O484" s="1" t="s">
        <v>63</v>
      </c>
      <c r="P484">
        <v>0</v>
      </c>
      <c r="Q484" s="1" t="s">
        <v>21</v>
      </c>
      <c r="R484" s="1" t="s">
        <v>1206</v>
      </c>
      <c r="S484" s="1">
        <f t="shared" ca="1" si="7"/>
        <v>0.47334734114440824</v>
      </c>
    </row>
    <row r="485" spans="1:19" x14ac:dyDescent="0.25">
      <c r="A485" s="1" t="s">
        <v>1201</v>
      </c>
      <c r="B485" s="1" t="s">
        <v>1202</v>
      </c>
      <c r="C485" s="1" t="s">
        <v>1209</v>
      </c>
      <c r="D485" s="1" t="s">
        <v>21</v>
      </c>
      <c r="E485" s="1" t="s">
        <v>1210</v>
      </c>
      <c r="F485" s="1" t="s">
        <v>1205</v>
      </c>
      <c r="G485" s="1" t="s">
        <v>70</v>
      </c>
      <c r="H485" s="1" t="s">
        <v>1206</v>
      </c>
      <c r="I485" s="1" t="s">
        <v>21</v>
      </c>
      <c r="J485" s="1" t="s">
        <v>21</v>
      </c>
      <c r="L485" s="1" t="s">
        <v>21</v>
      </c>
      <c r="N485" s="1" t="s">
        <v>21</v>
      </c>
      <c r="O485" s="1" t="s">
        <v>1035</v>
      </c>
      <c r="P485">
        <v>0</v>
      </c>
      <c r="Q485" s="1" t="s">
        <v>21</v>
      </c>
      <c r="R485" s="1" t="s">
        <v>1206</v>
      </c>
      <c r="S485" s="1">
        <f t="shared" ca="1" si="7"/>
        <v>0.818622626541336</v>
      </c>
    </row>
    <row r="486" spans="1:19" x14ac:dyDescent="0.25">
      <c r="A486" s="1" t="s">
        <v>1201</v>
      </c>
      <c r="B486" s="1" t="s">
        <v>1211</v>
      </c>
      <c r="C486" s="1" t="s">
        <v>1212</v>
      </c>
      <c r="D486" s="1" t="s">
        <v>21</v>
      </c>
      <c r="E486" s="1" t="s">
        <v>1213</v>
      </c>
      <c r="F486" s="1" t="s">
        <v>1205</v>
      </c>
      <c r="G486" s="1" t="s">
        <v>21</v>
      </c>
      <c r="H486" s="1" t="s">
        <v>21</v>
      </c>
      <c r="I486" s="1" t="s">
        <v>1214</v>
      </c>
      <c r="J486" s="1" t="s">
        <v>1215</v>
      </c>
      <c r="L486" s="1" t="s">
        <v>21</v>
      </c>
      <c r="N486" s="1" t="s">
        <v>21</v>
      </c>
      <c r="O486" s="1" t="s">
        <v>1216</v>
      </c>
      <c r="P486">
        <v>0</v>
      </c>
      <c r="Q486" s="1" t="s">
        <v>21</v>
      </c>
      <c r="R486" s="1" t="s">
        <v>1215</v>
      </c>
      <c r="S486" s="1">
        <f t="shared" ca="1" si="7"/>
        <v>0.38236729380401546</v>
      </c>
    </row>
    <row r="487" spans="1:19" x14ac:dyDescent="0.25">
      <c r="A487" s="1" t="s">
        <v>1201</v>
      </c>
      <c r="B487" s="1" t="s">
        <v>1211</v>
      </c>
      <c r="C487" s="1" t="s">
        <v>1217</v>
      </c>
      <c r="D487" s="1" t="s">
        <v>21</v>
      </c>
      <c r="E487" s="1" t="s">
        <v>1218</v>
      </c>
      <c r="F487" s="1" t="s">
        <v>1205</v>
      </c>
      <c r="G487" s="1" t="s">
        <v>1214</v>
      </c>
      <c r="H487" s="1" t="s">
        <v>1215</v>
      </c>
      <c r="I487" s="1" t="s">
        <v>278</v>
      </c>
      <c r="J487" s="1" t="s">
        <v>1215</v>
      </c>
      <c r="L487" s="1" t="s">
        <v>21</v>
      </c>
      <c r="N487" s="1" t="s">
        <v>21</v>
      </c>
      <c r="O487" s="1" t="s">
        <v>33</v>
      </c>
      <c r="P487">
        <v>0</v>
      </c>
      <c r="Q487" s="1" t="s">
        <v>21</v>
      </c>
      <c r="R487" s="1" t="s">
        <v>1215</v>
      </c>
      <c r="S487" s="1">
        <f t="shared" ca="1" si="7"/>
        <v>0.84238148982617189</v>
      </c>
    </row>
    <row r="488" spans="1:19" x14ac:dyDescent="0.25">
      <c r="A488" s="1" t="s">
        <v>1201</v>
      </c>
      <c r="B488" s="1" t="s">
        <v>1211</v>
      </c>
      <c r="C488" s="1" t="s">
        <v>1219</v>
      </c>
      <c r="D488" s="1" t="s">
        <v>21</v>
      </c>
      <c r="E488" s="1" t="s">
        <v>1220</v>
      </c>
      <c r="F488" s="1" t="s">
        <v>1205</v>
      </c>
      <c r="G488" s="1" t="s">
        <v>278</v>
      </c>
      <c r="H488" s="1" t="s">
        <v>1215</v>
      </c>
      <c r="I488" s="1" t="s">
        <v>21</v>
      </c>
      <c r="J488" s="1" t="s">
        <v>21</v>
      </c>
      <c r="L488" s="1" t="s">
        <v>21</v>
      </c>
      <c r="N488" s="1" t="s">
        <v>21</v>
      </c>
      <c r="O488" s="1" t="s">
        <v>157</v>
      </c>
      <c r="P488">
        <v>0</v>
      </c>
      <c r="Q488" s="1" t="s">
        <v>21</v>
      </c>
      <c r="R488" s="1" t="s">
        <v>1215</v>
      </c>
      <c r="S488" s="1">
        <f t="shared" ca="1" si="7"/>
        <v>0.47903317296484438</v>
      </c>
    </row>
    <row r="489" spans="1:19" x14ac:dyDescent="0.25">
      <c r="A489" s="1" t="s">
        <v>1221</v>
      </c>
      <c r="B489" s="1" t="s">
        <v>1222</v>
      </c>
      <c r="C489" s="1" t="s">
        <v>1223</v>
      </c>
      <c r="D489" s="1" t="s">
        <v>21</v>
      </c>
      <c r="E489" s="1" t="s">
        <v>1224</v>
      </c>
      <c r="F489" s="1" t="s">
        <v>1225</v>
      </c>
      <c r="G489" s="1" t="s">
        <v>467</v>
      </c>
      <c r="H489" s="1" t="s">
        <v>1226</v>
      </c>
      <c r="I489" s="1" t="s">
        <v>1227</v>
      </c>
      <c r="J489" s="1" t="s">
        <v>1226</v>
      </c>
      <c r="L489" s="1" t="s">
        <v>21</v>
      </c>
      <c r="N489" s="1" t="s">
        <v>21</v>
      </c>
      <c r="O489" s="1" t="s">
        <v>1228</v>
      </c>
      <c r="P489">
        <v>0</v>
      </c>
      <c r="Q489" s="1" t="s">
        <v>21</v>
      </c>
      <c r="R489" s="1" t="s">
        <v>1226</v>
      </c>
      <c r="S489" s="1">
        <f t="shared" ca="1" si="7"/>
        <v>0.59741219436852422</v>
      </c>
    </row>
    <row r="490" spans="1:19" x14ac:dyDescent="0.25">
      <c r="A490" s="1" t="s">
        <v>1221</v>
      </c>
      <c r="B490" s="1" t="s">
        <v>1229</v>
      </c>
      <c r="C490" s="1" t="s">
        <v>1230</v>
      </c>
      <c r="D490" s="1" t="s">
        <v>21</v>
      </c>
      <c r="E490" s="1" t="s">
        <v>1231</v>
      </c>
      <c r="F490" s="1" t="s">
        <v>1225</v>
      </c>
      <c r="G490" s="1" t="s">
        <v>467</v>
      </c>
      <c r="H490" s="1" t="s">
        <v>1232</v>
      </c>
      <c r="I490" s="1" t="s">
        <v>440</v>
      </c>
      <c r="J490" s="1" t="s">
        <v>1232</v>
      </c>
      <c r="L490" s="1" t="s">
        <v>21</v>
      </c>
      <c r="N490" s="1" t="s">
        <v>21</v>
      </c>
      <c r="O490" s="1" t="s">
        <v>1233</v>
      </c>
      <c r="P490">
        <v>0</v>
      </c>
      <c r="Q490" s="1" t="s">
        <v>21</v>
      </c>
      <c r="R490" s="1" t="s">
        <v>1232</v>
      </c>
      <c r="S490" s="1">
        <f t="shared" ca="1" si="7"/>
        <v>0.73744814781386336</v>
      </c>
    </row>
    <row r="491" spans="1:19" x14ac:dyDescent="0.25">
      <c r="A491" s="1" t="s">
        <v>1221</v>
      </c>
      <c r="B491" s="1" t="s">
        <v>1229</v>
      </c>
      <c r="C491" s="1" t="s">
        <v>1234</v>
      </c>
      <c r="D491" s="1" t="s">
        <v>21</v>
      </c>
      <c r="E491" s="1" t="s">
        <v>1235</v>
      </c>
      <c r="F491" s="1" t="s">
        <v>1225</v>
      </c>
      <c r="G491" s="1" t="s">
        <v>467</v>
      </c>
      <c r="H491" s="1" t="s">
        <v>1236</v>
      </c>
      <c r="I491" s="1" t="s">
        <v>204</v>
      </c>
      <c r="J491" s="1" t="s">
        <v>1236</v>
      </c>
      <c r="L491" s="1" t="s">
        <v>21</v>
      </c>
      <c r="N491" s="1" t="s">
        <v>21</v>
      </c>
      <c r="O491" s="1" t="s">
        <v>267</v>
      </c>
      <c r="P491">
        <v>0</v>
      </c>
      <c r="Q491" s="1" t="s">
        <v>21</v>
      </c>
      <c r="R491" s="1" t="s">
        <v>1237</v>
      </c>
      <c r="S491" s="1">
        <f t="shared" ca="1" si="7"/>
        <v>0.91118265760963191</v>
      </c>
    </row>
    <row r="492" spans="1:19" x14ac:dyDescent="0.25">
      <c r="A492" s="1" t="s">
        <v>1221</v>
      </c>
      <c r="B492" s="1" t="s">
        <v>1229</v>
      </c>
      <c r="C492" s="1" t="s">
        <v>1238</v>
      </c>
      <c r="D492" s="1" t="s">
        <v>21</v>
      </c>
      <c r="E492" s="1" t="s">
        <v>1239</v>
      </c>
      <c r="F492" s="1" t="s">
        <v>1225</v>
      </c>
      <c r="G492" s="1" t="s">
        <v>204</v>
      </c>
      <c r="H492" s="1" t="s">
        <v>1236</v>
      </c>
      <c r="I492" s="1" t="s">
        <v>157</v>
      </c>
      <c r="J492" s="1" t="s">
        <v>1236</v>
      </c>
      <c r="L492" s="1" t="s">
        <v>21</v>
      </c>
      <c r="N492" s="1" t="s">
        <v>21</v>
      </c>
      <c r="O492" s="1" t="s">
        <v>292</v>
      </c>
      <c r="P492">
        <v>0</v>
      </c>
      <c r="Q492" s="1" t="s">
        <v>21</v>
      </c>
      <c r="R492" s="1" t="s">
        <v>1236</v>
      </c>
      <c r="S492" s="1">
        <f t="shared" ca="1" si="7"/>
        <v>0.70129284006078729</v>
      </c>
    </row>
    <row r="493" spans="1:19" x14ac:dyDescent="0.25">
      <c r="A493" s="1" t="s">
        <v>1221</v>
      </c>
      <c r="B493" s="1" t="s">
        <v>1229</v>
      </c>
      <c r="C493" s="1" t="s">
        <v>1240</v>
      </c>
      <c r="D493" s="1" t="s">
        <v>21</v>
      </c>
      <c r="E493" s="1" t="s">
        <v>1241</v>
      </c>
      <c r="F493" s="1" t="s">
        <v>1242</v>
      </c>
      <c r="G493" s="1" t="s">
        <v>63</v>
      </c>
      <c r="H493" s="1" t="s">
        <v>1236</v>
      </c>
      <c r="I493" s="1" t="s">
        <v>563</v>
      </c>
      <c r="J493" s="1" t="s">
        <v>1236</v>
      </c>
      <c r="L493" s="1" t="s">
        <v>21</v>
      </c>
      <c r="N493" s="1" t="s">
        <v>21</v>
      </c>
      <c r="O493" s="1" t="s">
        <v>1243</v>
      </c>
      <c r="P493">
        <v>1.7999999999999999E-2</v>
      </c>
      <c r="Q493" s="1" t="s">
        <v>1236</v>
      </c>
      <c r="R493" s="1" t="s">
        <v>338</v>
      </c>
      <c r="S493" s="1">
        <f t="shared" ca="1" si="7"/>
        <v>0.45389933878093025</v>
      </c>
    </row>
    <row r="494" spans="1:19" x14ac:dyDescent="0.25">
      <c r="A494" s="1" t="s">
        <v>1221</v>
      </c>
      <c r="B494" s="1" t="s">
        <v>1229</v>
      </c>
      <c r="C494" s="1" t="s">
        <v>1244</v>
      </c>
      <c r="D494" s="1" t="s">
        <v>21</v>
      </c>
      <c r="E494" s="1" t="s">
        <v>1245</v>
      </c>
      <c r="F494" s="1" t="s">
        <v>1242</v>
      </c>
      <c r="G494" s="1" t="s">
        <v>634</v>
      </c>
      <c r="H494" s="1" t="s">
        <v>1236</v>
      </c>
      <c r="I494" s="1" t="s">
        <v>1246</v>
      </c>
      <c r="J494" s="1" t="s">
        <v>1236</v>
      </c>
      <c r="L494" s="1" t="s">
        <v>21</v>
      </c>
      <c r="N494" s="1" t="s">
        <v>21</v>
      </c>
      <c r="O494" s="1" t="s">
        <v>669</v>
      </c>
      <c r="P494">
        <v>1.7999999999999999E-2</v>
      </c>
      <c r="Q494" s="1" t="s">
        <v>1236</v>
      </c>
      <c r="R494" s="1" t="s">
        <v>338</v>
      </c>
      <c r="S494" s="1">
        <f t="shared" ca="1" si="7"/>
        <v>0.8475066471915208</v>
      </c>
    </row>
    <row r="495" spans="1:19" x14ac:dyDescent="0.25">
      <c r="A495" s="1" t="s">
        <v>1247</v>
      </c>
      <c r="B495" s="1" t="s">
        <v>1248</v>
      </c>
      <c r="C495" s="1" t="s">
        <v>1249</v>
      </c>
      <c r="D495" s="1" t="s">
        <v>21</v>
      </c>
      <c r="E495" s="1" t="s">
        <v>1250</v>
      </c>
      <c r="F495" s="1" t="s">
        <v>1225</v>
      </c>
      <c r="G495" s="1" t="s">
        <v>467</v>
      </c>
      <c r="H495" s="1" t="s">
        <v>1226</v>
      </c>
      <c r="I495" s="1" t="s">
        <v>1251</v>
      </c>
      <c r="J495" s="1" t="s">
        <v>1226</v>
      </c>
      <c r="L495" s="1" t="s">
        <v>21</v>
      </c>
      <c r="N495" s="1" t="s">
        <v>21</v>
      </c>
      <c r="O495" s="1" t="s">
        <v>1252</v>
      </c>
      <c r="P495">
        <v>0</v>
      </c>
      <c r="Q495" s="1" t="s">
        <v>21</v>
      </c>
      <c r="R495" s="1" t="s">
        <v>1226</v>
      </c>
      <c r="S495" s="1">
        <f t="shared" ca="1" si="7"/>
        <v>0.84686852585043759</v>
      </c>
    </row>
    <row r="496" spans="1:19" x14ac:dyDescent="0.25">
      <c r="A496" s="1" t="s">
        <v>1253</v>
      </c>
      <c r="B496" s="1" t="s">
        <v>21</v>
      </c>
      <c r="C496" s="1" t="s">
        <v>1254</v>
      </c>
      <c r="D496" s="1" t="s">
        <v>21</v>
      </c>
      <c r="E496" s="1" t="s">
        <v>1255</v>
      </c>
      <c r="F496" s="1" t="s">
        <v>1256</v>
      </c>
      <c r="G496" s="1" t="s">
        <v>1257</v>
      </c>
      <c r="H496" s="1" t="s">
        <v>548</v>
      </c>
      <c r="I496" s="1" t="s">
        <v>608</v>
      </c>
      <c r="J496" s="1" t="s">
        <v>548</v>
      </c>
      <c r="L496" s="1" t="s">
        <v>21</v>
      </c>
      <c r="N496" s="1" t="s">
        <v>21</v>
      </c>
      <c r="O496" s="1" t="s">
        <v>1258</v>
      </c>
      <c r="P496">
        <v>0</v>
      </c>
      <c r="Q496" s="1" t="s">
        <v>21</v>
      </c>
      <c r="R496" s="1" t="s">
        <v>548</v>
      </c>
      <c r="S496" s="1">
        <f t="shared" ca="1" si="7"/>
        <v>0.36379469386292096</v>
      </c>
    </row>
    <row r="497" spans="1:19" x14ac:dyDescent="0.25">
      <c r="A497" s="1" t="s">
        <v>1253</v>
      </c>
      <c r="B497" s="1" t="s">
        <v>21</v>
      </c>
      <c r="C497" s="1" t="s">
        <v>1259</v>
      </c>
      <c r="D497" s="1" t="s">
        <v>21</v>
      </c>
      <c r="E497" s="1" t="s">
        <v>1260</v>
      </c>
      <c r="F497" s="1" t="s">
        <v>1256</v>
      </c>
      <c r="G497" s="1" t="s">
        <v>608</v>
      </c>
      <c r="H497" s="1" t="s">
        <v>548</v>
      </c>
      <c r="I497" s="1" t="s">
        <v>1261</v>
      </c>
      <c r="J497" s="1" t="s">
        <v>548</v>
      </c>
      <c r="L497" s="1" t="s">
        <v>21</v>
      </c>
      <c r="N497" s="1" t="s">
        <v>21</v>
      </c>
      <c r="O497" s="1" t="s">
        <v>1262</v>
      </c>
      <c r="P497">
        <v>0</v>
      </c>
      <c r="Q497" s="1" t="s">
        <v>21</v>
      </c>
      <c r="R497" s="1" t="s">
        <v>548</v>
      </c>
      <c r="S497" s="1">
        <f t="shared" ca="1" si="7"/>
        <v>0.25762836191449634</v>
      </c>
    </row>
    <row r="498" spans="1:19" x14ac:dyDescent="0.25">
      <c r="A498" s="1" t="s">
        <v>1253</v>
      </c>
      <c r="B498" s="1" t="s">
        <v>21</v>
      </c>
      <c r="C498" s="1" t="s">
        <v>1263</v>
      </c>
      <c r="D498" s="1" t="s">
        <v>21</v>
      </c>
      <c r="E498" s="1" t="s">
        <v>1264</v>
      </c>
      <c r="F498" s="1" t="s">
        <v>1256</v>
      </c>
      <c r="G498" s="1" t="s">
        <v>1261</v>
      </c>
      <c r="H498" s="1" t="s">
        <v>548</v>
      </c>
      <c r="I498" s="1" t="s">
        <v>1265</v>
      </c>
      <c r="J498" s="1" t="s">
        <v>548</v>
      </c>
      <c r="L498" s="1" t="s">
        <v>21</v>
      </c>
      <c r="N498" s="1" t="s">
        <v>21</v>
      </c>
      <c r="O498" s="1" t="s">
        <v>865</v>
      </c>
      <c r="P498">
        <v>0</v>
      </c>
      <c r="Q498" s="1" t="s">
        <v>21</v>
      </c>
      <c r="R498" s="1" t="s">
        <v>548</v>
      </c>
      <c r="S498" s="1">
        <f t="shared" ca="1" si="7"/>
        <v>0.68428108298856405</v>
      </c>
    </row>
    <row r="499" spans="1:19" x14ac:dyDescent="0.25">
      <c r="A499" s="1" t="s">
        <v>1253</v>
      </c>
      <c r="B499" s="1" t="s">
        <v>21</v>
      </c>
      <c r="C499" s="1" t="s">
        <v>1266</v>
      </c>
      <c r="D499" s="1" t="s">
        <v>21</v>
      </c>
      <c r="E499" s="1" t="s">
        <v>1267</v>
      </c>
      <c r="F499" s="1" t="s">
        <v>1256</v>
      </c>
      <c r="G499" s="1" t="s">
        <v>1265</v>
      </c>
      <c r="H499" s="1" t="s">
        <v>548</v>
      </c>
      <c r="I499" s="1" t="s">
        <v>637</v>
      </c>
      <c r="J499" s="1" t="s">
        <v>548</v>
      </c>
      <c r="L499" s="1" t="s">
        <v>21</v>
      </c>
      <c r="N499" s="1" t="s">
        <v>21</v>
      </c>
      <c r="O499" s="1" t="s">
        <v>1268</v>
      </c>
      <c r="P499">
        <v>0</v>
      </c>
      <c r="Q499" s="1" t="s">
        <v>21</v>
      </c>
      <c r="R499" s="1" t="s">
        <v>548</v>
      </c>
      <c r="S499" s="1">
        <f t="shared" ca="1" si="7"/>
        <v>3.3964175125446361E-2</v>
      </c>
    </row>
    <row r="500" spans="1:19" x14ac:dyDescent="0.25">
      <c r="A500" s="1" t="s">
        <v>1269</v>
      </c>
      <c r="B500" s="1" t="s">
        <v>543</v>
      </c>
      <c r="C500" s="1" t="s">
        <v>1270</v>
      </c>
      <c r="D500" s="1" t="s">
        <v>21</v>
      </c>
      <c r="E500" s="1" t="s">
        <v>1271</v>
      </c>
      <c r="F500" s="1" t="s">
        <v>1272</v>
      </c>
      <c r="G500" s="1" t="s">
        <v>1257</v>
      </c>
      <c r="H500" s="1" t="s">
        <v>548</v>
      </c>
      <c r="I500" s="1" t="s">
        <v>1273</v>
      </c>
      <c r="J500" s="1" t="s">
        <v>548</v>
      </c>
      <c r="L500" s="1" t="s">
        <v>21</v>
      </c>
      <c r="N500" s="1" t="s">
        <v>21</v>
      </c>
      <c r="O500" s="1" t="s">
        <v>1019</v>
      </c>
      <c r="P500">
        <v>0</v>
      </c>
      <c r="Q500" s="1" t="s">
        <v>21</v>
      </c>
      <c r="R500" s="1" t="s">
        <v>548</v>
      </c>
      <c r="S500" s="1">
        <f t="shared" ca="1" si="7"/>
        <v>0.10678152285661069</v>
      </c>
    </row>
    <row r="501" spans="1:19" x14ac:dyDescent="0.25">
      <c r="A501" s="1" t="s">
        <v>1269</v>
      </c>
      <c r="B501" s="1" t="s">
        <v>543</v>
      </c>
      <c r="C501" s="1" t="s">
        <v>1274</v>
      </c>
      <c r="D501" s="1" t="s">
        <v>21</v>
      </c>
      <c r="E501" s="1" t="s">
        <v>579</v>
      </c>
      <c r="F501" s="1" t="s">
        <v>1272</v>
      </c>
      <c r="G501" s="1" t="s">
        <v>1273</v>
      </c>
      <c r="H501" s="1" t="s">
        <v>548</v>
      </c>
      <c r="I501" s="1" t="s">
        <v>637</v>
      </c>
      <c r="J501" s="1" t="s">
        <v>548</v>
      </c>
      <c r="L501" s="1" t="s">
        <v>21</v>
      </c>
      <c r="N501" s="1" t="s">
        <v>21</v>
      </c>
      <c r="O501" s="1" t="s">
        <v>581</v>
      </c>
      <c r="P501">
        <v>0</v>
      </c>
      <c r="Q501" s="1" t="s">
        <v>21</v>
      </c>
      <c r="R501" s="1" t="s">
        <v>548</v>
      </c>
      <c r="S501" s="1">
        <f t="shared" ca="1" si="7"/>
        <v>0.99363564327362264</v>
      </c>
    </row>
    <row r="502" spans="1:19" x14ac:dyDescent="0.25">
      <c r="A502" s="1" t="s">
        <v>1269</v>
      </c>
      <c r="B502" s="1" t="s">
        <v>543</v>
      </c>
      <c r="C502" s="1" t="s">
        <v>1275</v>
      </c>
      <c r="D502" s="1" t="s">
        <v>21</v>
      </c>
      <c r="E502" s="1" t="s">
        <v>1276</v>
      </c>
      <c r="F502" s="1" t="s">
        <v>1277</v>
      </c>
      <c r="G502" s="1" t="s">
        <v>637</v>
      </c>
      <c r="H502" s="1" t="s">
        <v>548</v>
      </c>
      <c r="I502" s="1" t="s">
        <v>652</v>
      </c>
      <c r="J502" s="1" t="s">
        <v>548</v>
      </c>
      <c r="L502" s="1" t="s">
        <v>21</v>
      </c>
      <c r="N502" s="1" t="s">
        <v>21</v>
      </c>
      <c r="O502" s="1" t="s">
        <v>121</v>
      </c>
      <c r="P502">
        <v>0</v>
      </c>
      <c r="Q502" s="1" t="s">
        <v>21</v>
      </c>
      <c r="R502" s="1" t="s">
        <v>548</v>
      </c>
      <c r="S502" s="1">
        <f t="shared" ca="1" si="7"/>
        <v>0.81492081317877696</v>
      </c>
    </row>
    <row r="503" spans="1:19" x14ac:dyDescent="0.25">
      <c r="A503" s="1" t="s">
        <v>1269</v>
      </c>
      <c r="B503" s="1" t="s">
        <v>543</v>
      </c>
      <c r="C503" s="1" t="s">
        <v>1278</v>
      </c>
      <c r="D503" s="1" t="s">
        <v>21</v>
      </c>
      <c r="E503" s="1" t="s">
        <v>1279</v>
      </c>
      <c r="F503" s="1" t="s">
        <v>1280</v>
      </c>
      <c r="G503" s="1" t="s">
        <v>652</v>
      </c>
      <c r="H503" s="1" t="s">
        <v>548</v>
      </c>
      <c r="I503" s="1" t="s">
        <v>555</v>
      </c>
      <c r="J503" s="1" t="s">
        <v>548</v>
      </c>
      <c r="L503" s="1" t="s">
        <v>21</v>
      </c>
      <c r="N503" s="1" t="s">
        <v>21</v>
      </c>
      <c r="O503" s="1" t="s">
        <v>1281</v>
      </c>
      <c r="P503">
        <v>0</v>
      </c>
      <c r="Q503" s="1" t="s">
        <v>21</v>
      </c>
      <c r="R503" s="1" t="s">
        <v>548</v>
      </c>
      <c r="S503" s="1">
        <f t="shared" ca="1" si="7"/>
        <v>0.46586672275574181</v>
      </c>
    </row>
    <row r="504" spans="1:19" x14ac:dyDescent="0.25">
      <c r="A504" s="1" t="s">
        <v>1269</v>
      </c>
      <c r="B504" s="1" t="s">
        <v>556</v>
      </c>
      <c r="C504" s="1" t="s">
        <v>1270</v>
      </c>
      <c r="D504" s="1" t="s">
        <v>21</v>
      </c>
      <c r="E504" s="1" t="s">
        <v>583</v>
      </c>
      <c r="F504" s="1" t="s">
        <v>1280</v>
      </c>
      <c r="G504" s="1" t="s">
        <v>1257</v>
      </c>
      <c r="H504" s="1" t="s">
        <v>548</v>
      </c>
      <c r="I504" s="1" t="s">
        <v>1273</v>
      </c>
      <c r="J504" s="1" t="s">
        <v>548</v>
      </c>
      <c r="L504" s="1" t="s">
        <v>21</v>
      </c>
      <c r="N504" s="1" t="s">
        <v>21</v>
      </c>
      <c r="O504" s="1" t="s">
        <v>441</v>
      </c>
      <c r="P504">
        <v>0</v>
      </c>
      <c r="Q504" s="1" t="s">
        <v>21</v>
      </c>
      <c r="R504" s="1" t="s">
        <v>548</v>
      </c>
      <c r="S504" s="1">
        <f t="shared" ca="1" si="7"/>
        <v>0.82342552526449631</v>
      </c>
    </row>
    <row r="505" spans="1:19" x14ac:dyDescent="0.25">
      <c r="A505" s="1" t="s">
        <v>1269</v>
      </c>
      <c r="B505" s="1" t="s">
        <v>556</v>
      </c>
      <c r="C505" s="1" t="s">
        <v>1274</v>
      </c>
      <c r="D505" s="1" t="s">
        <v>21</v>
      </c>
      <c r="E505" s="1" t="s">
        <v>601</v>
      </c>
      <c r="F505" s="1" t="s">
        <v>1280</v>
      </c>
      <c r="G505" s="1" t="s">
        <v>1273</v>
      </c>
      <c r="H505" s="1" t="s">
        <v>548</v>
      </c>
      <c r="I505" s="1" t="s">
        <v>637</v>
      </c>
      <c r="J505" s="1" t="s">
        <v>548</v>
      </c>
      <c r="L505" s="1" t="s">
        <v>21</v>
      </c>
      <c r="N505" s="1" t="s">
        <v>21</v>
      </c>
      <c r="O505" s="1" t="s">
        <v>445</v>
      </c>
      <c r="P505">
        <v>0</v>
      </c>
      <c r="Q505" s="1" t="s">
        <v>21</v>
      </c>
      <c r="R505" s="1" t="s">
        <v>548</v>
      </c>
      <c r="S505" s="1">
        <f t="shared" ca="1" si="7"/>
        <v>0.98880572458159754</v>
      </c>
    </row>
    <row r="506" spans="1:19" x14ac:dyDescent="0.25">
      <c r="A506" s="1" t="s">
        <v>1269</v>
      </c>
      <c r="B506" s="1" t="s">
        <v>556</v>
      </c>
      <c r="C506" s="1" t="s">
        <v>1275</v>
      </c>
      <c r="D506" s="1" t="s">
        <v>21</v>
      </c>
      <c r="E506" s="1" t="s">
        <v>1282</v>
      </c>
      <c r="F506" s="1" t="s">
        <v>1280</v>
      </c>
      <c r="G506" s="1" t="s">
        <v>637</v>
      </c>
      <c r="H506" s="1" t="s">
        <v>548</v>
      </c>
      <c r="I506" s="1" t="s">
        <v>652</v>
      </c>
      <c r="J506" s="1" t="s">
        <v>548</v>
      </c>
      <c r="L506" s="1" t="s">
        <v>21</v>
      </c>
      <c r="N506" s="1" t="s">
        <v>21</v>
      </c>
      <c r="O506" s="1" t="s">
        <v>298</v>
      </c>
      <c r="P506">
        <v>0</v>
      </c>
      <c r="Q506" s="1" t="s">
        <v>21</v>
      </c>
      <c r="R506" s="1" t="s">
        <v>548</v>
      </c>
      <c r="S506" s="1">
        <f t="shared" ca="1" si="7"/>
        <v>4.8636254808678503E-2</v>
      </c>
    </row>
    <row r="507" spans="1:19" x14ac:dyDescent="0.25">
      <c r="A507" s="1" t="s">
        <v>1269</v>
      </c>
      <c r="B507" s="1" t="s">
        <v>556</v>
      </c>
      <c r="C507" s="1" t="s">
        <v>1283</v>
      </c>
      <c r="D507" s="1" t="s">
        <v>21</v>
      </c>
      <c r="E507" s="1" t="s">
        <v>1276</v>
      </c>
      <c r="F507" s="1" t="s">
        <v>1280</v>
      </c>
      <c r="G507" s="1" t="s">
        <v>652</v>
      </c>
      <c r="H507" s="1" t="s">
        <v>548</v>
      </c>
      <c r="I507" s="1" t="s">
        <v>1064</v>
      </c>
      <c r="J507" s="1" t="s">
        <v>548</v>
      </c>
      <c r="L507" s="1" t="s">
        <v>21</v>
      </c>
      <c r="N507" s="1" t="s">
        <v>21</v>
      </c>
      <c r="O507" s="1" t="s">
        <v>121</v>
      </c>
      <c r="P507">
        <v>0</v>
      </c>
      <c r="Q507" s="1" t="s">
        <v>21</v>
      </c>
      <c r="R507" s="1" t="s">
        <v>548</v>
      </c>
      <c r="S507" s="1">
        <f t="shared" ca="1" si="7"/>
        <v>0.60567296739087517</v>
      </c>
    </row>
    <row r="508" spans="1:19" x14ac:dyDescent="0.25">
      <c r="A508" s="1" t="s">
        <v>1269</v>
      </c>
      <c r="B508" s="1" t="s">
        <v>556</v>
      </c>
      <c r="C508" s="1" t="s">
        <v>1284</v>
      </c>
      <c r="D508" s="1" t="s">
        <v>21</v>
      </c>
      <c r="E508" s="1" t="s">
        <v>1285</v>
      </c>
      <c r="F508" s="1" t="s">
        <v>1280</v>
      </c>
      <c r="G508" s="1" t="s">
        <v>1064</v>
      </c>
      <c r="H508" s="1" t="s">
        <v>548</v>
      </c>
      <c r="I508" s="1" t="s">
        <v>568</v>
      </c>
      <c r="J508" s="1" t="s">
        <v>548</v>
      </c>
      <c r="L508" s="1" t="s">
        <v>21</v>
      </c>
      <c r="N508" s="1" t="s">
        <v>21</v>
      </c>
      <c r="O508" s="1" t="s">
        <v>1286</v>
      </c>
      <c r="P508">
        <v>0</v>
      </c>
      <c r="Q508" s="1" t="s">
        <v>21</v>
      </c>
      <c r="R508" s="1" t="s">
        <v>548</v>
      </c>
      <c r="S508" s="1">
        <f t="shared" ca="1" si="7"/>
        <v>0.90818024179142198</v>
      </c>
    </row>
    <row r="509" spans="1:19" x14ac:dyDescent="0.25">
      <c r="A509" s="1" t="s">
        <v>1269</v>
      </c>
      <c r="B509" s="1" t="s">
        <v>569</v>
      </c>
      <c r="C509" s="1" t="s">
        <v>1270</v>
      </c>
      <c r="D509" s="1" t="s">
        <v>21</v>
      </c>
      <c r="E509" s="1" t="s">
        <v>577</v>
      </c>
      <c r="F509" s="1" t="s">
        <v>1280</v>
      </c>
      <c r="G509" s="1" t="s">
        <v>1257</v>
      </c>
      <c r="H509" s="1" t="s">
        <v>548</v>
      </c>
      <c r="I509" s="1" t="s">
        <v>1273</v>
      </c>
      <c r="J509" s="1" t="s">
        <v>548</v>
      </c>
      <c r="L509" s="1" t="s">
        <v>21</v>
      </c>
      <c r="N509" s="1" t="s">
        <v>21</v>
      </c>
      <c r="O509" s="1" t="s">
        <v>457</v>
      </c>
      <c r="P509">
        <v>0</v>
      </c>
      <c r="Q509" s="1" t="s">
        <v>21</v>
      </c>
      <c r="R509" s="1" t="s">
        <v>548</v>
      </c>
      <c r="S509" s="1">
        <f t="shared" ca="1" si="7"/>
        <v>0.40387229371260713</v>
      </c>
    </row>
    <row r="510" spans="1:19" x14ac:dyDescent="0.25">
      <c r="A510" s="1" t="s">
        <v>1269</v>
      </c>
      <c r="B510" s="1" t="s">
        <v>569</v>
      </c>
      <c r="C510" s="1" t="s">
        <v>1274</v>
      </c>
      <c r="D510" s="1" t="s">
        <v>21</v>
      </c>
      <c r="E510" s="1" t="s">
        <v>617</v>
      </c>
      <c r="F510" s="1" t="s">
        <v>1280</v>
      </c>
      <c r="G510" s="1" t="s">
        <v>1273</v>
      </c>
      <c r="H510" s="1" t="s">
        <v>548</v>
      </c>
      <c r="I510" s="1" t="s">
        <v>637</v>
      </c>
      <c r="J510" s="1" t="s">
        <v>548</v>
      </c>
      <c r="L510" s="1" t="s">
        <v>21</v>
      </c>
      <c r="N510" s="1" t="s">
        <v>21</v>
      </c>
      <c r="O510" s="1" t="s">
        <v>619</v>
      </c>
      <c r="P510">
        <v>0</v>
      </c>
      <c r="Q510" s="1" t="s">
        <v>21</v>
      </c>
      <c r="R510" s="1" t="s">
        <v>548</v>
      </c>
      <c r="S510" s="1">
        <f t="shared" ca="1" si="7"/>
        <v>0.8079889632252778</v>
      </c>
    </row>
    <row r="511" spans="1:19" x14ac:dyDescent="0.25">
      <c r="A511" s="1" t="s">
        <v>1269</v>
      </c>
      <c r="B511" s="1" t="s">
        <v>569</v>
      </c>
      <c r="C511" s="1" t="s">
        <v>1275</v>
      </c>
      <c r="D511" s="1" t="s">
        <v>21</v>
      </c>
      <c r="E511" s="1" t="s">
        <v>1282</v>
      </c>
      <c r="F511" s="1" t="s">
        <v>1280</v>
      </c>
      <c r="G511" s="1" t="s">
        <v>637</v>
      </c>
      <c r="H511" s="1" t="s">
        <v>548</v>
      </c>
      <c r="I511" s="1" t="s">
        <v>652</v>
      </c>
      <c r="J511" s="1" t="s">
        <v>548</v>
      </c>
      <c r="L511" s="1" t="s">
        <v>21</v>
      </c>
      <c r="N511" s="1" t="s">
        <v>21</v>
      </c>
      <c r="O511" s="1" t="s">
        <v>298</v>
      </c>
      <c r="P511">
        <v>0</v>
      </c>
      <c r="Q511" s="1" t="s">
        <v>21</v>
      </c>
      <c r="R511" s="1" t="s">
        <v>548</v>
      </c>
      <c r="S511" s="1">
        <f t="shared" ca="1" si="7"/>
        <v>0.58078592546963481</v>
      </c>
    </row>
    <row r="512" spans="1:19" x14ac:dyDescent="0.25">
      <c r="A512" s="1" t="s">
        <v>1269</v>
      </c>
      <c r="B512" s="1" t="s">
        <v>569</v>
      </c>
      <c r="C512" s="1" t="s">
        <v>1283</v>
      </c>
      <c r="D512" s="1" t="s">
        <v>21</v>
      </c>
      <c r="E512" s="1" t="s">
        <v>1276</v>
      </c>
      <c r="F512" s="1" t="s">
        <v>1280</v>
      </c>
      <c r="G512" s="1" t="s">
        <v>652</v>
      </c>
      <c r="H512" s="1" t="s">
        <v>548</v>
      </c>
      <c r="I512" s="1" t="s">
        <v>1064</v>
      </c>
      <c r="J512" s="1" t="s">
        <v>548</v>
      </c>
      <c r="L512" s="1" t="s">
        <v>21</v>
      </c>
      <c r="N512" s="1" t="s">
        <v>21</v>
      </c>
      <c r="O512" s="1" t="s">
        <v>121</v>
      </c>
      <c r="P512">
        <v>0</v>
      </c>
      <c r="Q512" s="1" t="s">
        <v>21</v>
      </c>
      <c r="R512" s="1" t="s">
        <v>548</v>
      </c>
      <c r="S512" s="1">
        <f t="shared" ca="1" si="7"/>
        <v>0.6401365300647508</v>
      </c>
    </row>
    <row r="513" spans="1:19" x14ac:dyDescent="0.25">
      <c r="A513" s="1" t="s">
        <v>1269</v>
      </c>
      <c r="B513" s="1" t="s">
        <v>569</v>
      </c>
      <c r="C513" s="1" t="s">
        <v>1287</v>
      </c>
      <c r="D513" s="1" t="s">
        <v>21</v>
      </c>
      <c r="E513" s="1" t="s">
        <v>1288</v>
      </c>
      <c r="F513" s="1" t="s">
        <v>1280</v>
      </c>
      <c r="G513" s="1" t="s">
        <v>1064</v>
      </c>
      <c r="H513" s="1" t="s">
        <v>548</v>
      </c>
      <c r="I513" s="1" t="s">
        <v>584</v>
      </c>
      <c r="J513" s="1" t="s">
        <v>548</v>
      </c>
      <c r="L513" s="1" t="s">
        <v>21</v>
      </c>
      <c r="N513" s="1" t="s">
        <v>21</v>
      </c>
      <c r="O513" s="1" t="s">
        <v>1289</v>
      </c>
      <c r="P513">
        <v>0</v>
      </c>
      <c r="Q513" s="1" t="s">
        <v>21</v>
      </c>
      <c r="R513" s="1" t="s">
        <v>548</v>
      </c>
      <c r="S513" s="1">
        <f t="shared" ca="1" si="7"/>
        <v>8.1265043150632876E-2</v>
      </c>
    </row>
    <row r="514" spans="1:19" x14ac:dyDescent="0.25">
      <c r="A514" s="1" t="s">
        <v>1269</v>
      </c>
      <c r="B514" s="1" t="s">
        <v>585</v>
      </c>
      <c r="C514" s="1" t="s">
        <v>1270</v>
      </c>
      <c r="D514" s="1" t="s">
        <v>21</v>
      </c>
      <c r="E514" s="1" t="s">
        <v>558</v>
      </c>
      <c r="F514" s="1" t="s">
        <v>1280</v>
      </c>
      <c r="G514" s="1" t="s">
        <v>1257</v>
      </c>
      <c r="H514" s="1" t="s">
        <v>548</v>
      </c>
      <c r="I514" s="1" t="s">
        <v>1273</v>
      </c>
      <c r="J514" s="1" t="s">
        <v>548</v>
      </c>
      <c r="L514" s="1" t="s">
        <v>21</v>
      </c>
      <c r="N514" s="1" t="s">
        <v>21</v>
      </c>
      <c r="O514" s="1" t="s">
        <v>561</v>
      </c>
      <c r="P514">
        <v>0</v>
      </c>
      <c r="Q514" s="1" t="s">
        <v>21</v>
      </c>
      <c r="R514" s="1" t="s">
        <v>548</v>
      </c>
      <c r="S514" s="1">
        <f t="shared" ref="S514:S563" ca="1" si="8">RAND()</f>
        <v>0.68026764920353655</v>
      </c>
    </row>
    <row r="515" spans="1:19" x14ac:dyDescent="0.25">
      <c r="A515" s="1" t="s">
        <v>1269</v>
      </c>
      <c r="B515" s="1" t="s">
        <v>585</v>
      </c>
      <c r="C515" s="1" t="s">
        <v>1274</v>
      </c>
      <c r="D515" s="1" t="s">
        <v>21</v>
      </c>
      <c r="E515" s="1" t="s">
        <v>1290</v>
      </c>
      <c r="F515" s="1" t="s">
        <v>1280</v>
      </c>
      <c r="G515" s="1" t="s">
        <v>1273</v>
      </c>
      <c r="H515" s="1" t="s">
        <v>548</v>
      </c>
      <c r="I515" s="1" t="s">
        <v>637</v>
      </c>
      <c r="J515" s="1" t="s">
        <v>548</v>
      </c>
      <c r="L515" s="1" t="s">
        <v>21</v>
      </c>
      <c r="N515" s="1" t="s">
        <v>21</v>
      </c>
      <c r="O515" s="1" t="s">
        <v>908</v>
      </c>
      <c r="P515">
        <v>0</v>
      </c>
      <c r="Q515" s="1" t="s">
        <v>21</v>
      </c>
      <c r="R515" s="1" t="s">
        <v>548</v>
      </c>
      <c r="S515" s="1">
        <f t="shared" ca="1" si="8"/>
        <v>0.42980770929629319</v>
      </c>
    </row>
    <row r="516" spans="1:19" x14ac:dyDescent="0.25">
      <c r="A516" s="1" t="s">
        <v>1269</v>
      </c>
      <c r="B516" s="1" t="s">
        <v>585</v>
      </c>
      <c r="C516" s="1" t="s">
        <v>1275</v>
      </c>
      <c r="D516" s="1" t="s">
        <v>21</v>
      </c>
      <c r="E516" s="1" t="s">
        <v>1291</v>
      </c>
      <c r="F516" s="1" t="s">
        <v>1280</v>
      </c>
      <c r="G516" s="1" t="s">
        <v>637</v>
      </c>
      <c r="H516" s="1" t="s">
        <v>548</v>
      </c>
      <c r="I516" s="1" t="s">
        <v>652</v>
      </c>
      <c r="J516" s="1" t="s">
        <v>548</v>
      </c>
      <c r="L516" s="1" t="s">
        <v>21</v>
      </c>
      <c r="N516" s="1" t="s">
        <v>21</v>
      </c>
      <c r="O516" s="1" t="s">
        <v>1292</v>
      </c>
      <c r="P516">
        <v>0</v>
      </c>
      <c r="Q516" s="1" t="s">
        <v>21</v>
      </c>
      <c r="R516" s="1" t="s">
        <v>548</v>
      </c>
      <c r="S516" s="1">
        <f t="shared" ca="1" si="8"/>
        <v>0.38407437995265847</v>
      </c>
    </row>
    <row r="517" spans="1:19" x14ac:dyDescent="0.25">
      <c r="A517" s="1" t="s">
        <v>1269</v>
      </c>
      <c r="B517" s="1" t="s">
        <v>585</v>
      </c>
      <c r="C517" s="1" t="s">
        <v>1283</v>
      </c>
      <c r="D517" s="1" t="s">
        <v>21</v>
      </c>
      <c r="E517" s="1" t="s">
        <v>1293</v>
      </c>
      <c r="F517" s="1" t="s">
        <v>1280</v>
      </c>
      <c r="G517" s="1" t="s">
        <v>652</v>
      </c>
      <c r="H517" s="1" t="s">
        <v>548</v>
      </c>
      <c r="I517" s="1" t="s">
        <v>1064</v>
      </c>
      <c r="J517" s="1" t="s">
        <v>548</v>
      </c>
      <c r="L517" s="1" t="s">
        <v>21</v>
      </c>
      <c r="N517" s="1" t="s">
        <v>21</v>
      </c>
      <c r="O517" s="1" t="s">
        <v>318</v>
      </c>
      <c r="P517">
        <v>0</v>
      </c>
      <c r="Q517" s="1" t="s">
        <v>21</v>
      </c>
      <c r="R517" s="1" t="s">
        <v>548</v>
      </c>
      <c r="S517" s="1">
        <f t="shared" ca="1" si="8"/>
        <v>0.70659957375812255</v>
      </c>
    </row>
    <row r="518" spans="1:19" x14ac:dyDescent="0.25">
      <c r="A518" s="1" t="s">
        <v>1269</v>
      </c>
      <c r="B518" s="1" t="s">
        <v>585</v>
      </c>
      <c r="C518" s="1" t="s">
        <v>1294</v>
      </c>
      <c r="D518" s="1" t="s">
        <v>21</v>
      </c>
      <c r="E518" s="1" t="s">
        <v>1295</v>
      </c>
      <c r="F518" s="1" t="s">
        <v>1280</v>
      </c>
      <c r="G518" s="1" t="s">
        <v>1064</v>
      </c>
      <c r="H518" s="1" t="s">
        <v>548</v>
      </c>
      <c r="I518" s="1" t="s">
        <v>603</v>
      </c>
      <c r="J518" s="1" t="s">
        <v>548</v>
      </c>
      <c r="L518" s="1" t="s">
        <v>21</v>
      </c>
      <c r="N518" s="1" t="s">
        <v>21</v>
      </c>
      <c r="O518" s="1" t="s">
        <v>883</v>
      </c>
      <c r="P518">
        <v>0</v>
      </c>
      <c r="Q518" s="1" t="s">
        <v>21</v>
      </c>
      <c r="R518" s="1" t="s">
        <v>548</v>
      </c>
      <c r="S518" s="1">
        <f t="shared" ca="1" si="8"/>
        <v>7.4870409002586347E-2</v>
      </c>
    </row>
    <row r="519" spans="1:19" x14ac:dyDescent="0.25">
      <c r="A519" s="1" t="s">
        <v>1269</v>
      </c>
      <c r="B519" s="1" t="s">
        <v>604</v>
      </c>
      <c r="C519" s="1" t="s">
        <v>1296</v>
      </c>
      <c r="D519" s="1" t="s">
        <v>21</v>
      </c>
      <c r="E519" s="1" t="s">
        <v>1297</v>
      </c>
      <c r="F519" s="1" t="s">
        <v>1280</v>
      </c>
      <c r="G519" s="1" t="s">
        <v>608</v>
      </c>
      <c r="H519" s="1" t="s">
        <v>548</v>
      </c>
      <c r="I519" s="1" t="s">
        <v>637</v>
      </c>
      <c r="J519" s="1" t="s">
        <v>548</v>
      </c>
      <c r="L519" s="1" t="s">
        <v>21</v>
      </c>
      <c r="N519" s="1" t="s">
        <v>21</v>
      </c>
      <c r="O519" s="1" t="s">
        <v>1298</v>
      </c>
      <c r="P519">
        <v>0</v>
      </c>
      <c r="Q519" s="1" t="s">
        <v>21</v>
      </c>
      <c r="R519" s="1" t="s">
        <v>548</v>
      </c>
      <c r="S519" s="1">
        <f t="shared" ca="1" si="8"/>
        <v>8.8928984715473613E-2</v>
      </c>
    </row>
    <row r="520" spans="1:19" x14ac:dyDescent="0.25">
      <c r="A520" s="1" t="s">
        <v>1269</v>
      </c>
      <c r="B520" s="1" t="s">
        <v>604</v>
      </c>
      <c r="C520" s="1" t="s">
        <v>1275</v>
      </c>
      <c r="D520" s="1" t="s">
        <v>21</v>
      </c>
      <c r="E520" s="1" t="s">
        <v>1291</v>
      </c>
      <c r="F520" s="1" t="s">
        <v>1280</v>
      </c>
      <c r="G520" s="1" t="s">
        <v>637</v>
      </c>
      <c r="H520" s="1" t="s">
        <v>548</v>
      </c>
      <c r="I520" s="1" t="s">
        <v>652</v>
      </c>
      <c r="J520" s="1" t="s">
        <v>548</v>
      </c>
      <c r="L520" s="1" t="s">
        <v>21</v>
      </c>
      <c r="N520" s="1" t="s">
        <v>21</v>
      </c>
      <c r="O520" s="1" t="s">
        <v>1292</v>
      </c>
      <c r="P520">
        <v>0</v>
      </c>
      <c r="Q520" s="1" t="s">
        <v>21</v>
      </c>
      <c r="R520" s="1" t="s">
        <v>548</v>
      </c>
      <c r="S520" s="1">
        <f t="shared" ca="1" si="8"/>
        <v>0.94861945034750939</v>
      </c>
    </row>
    <row r="521" spans="1:19" x14ac:dyDescent="0.25">
      <c r="A521" s="1" t="s">
        <v>1269</v>
      </c>
      <c r="B521" s="1" t="s">
        <v>604</v>
      </c>
      <c r="C521" s="1" t="s">
        <v>1283</v>
      </c>
      <c r="D521" s="1" t="s">
        <v>21</v>
      </c>
      <c r="E521" s="1" t="s">
        <v>1276</v>
      </c>
      <c r="F521" s="1" t="s">
        <v>1280</v>
      </c>
      <c r="G521" s="1" t="s">
        <v>652</v>
      </c>
      <c r="H521" s="1" t="s">
        <v>548</v>
      </c>
      <c r="I521" s="1" t="s">
        <v>1064</v>
      </c>
      <c r="J521" s="1" t="s">
        <v>548</v>
      </c>
      <c r="L521" s="1" t="s">
        <v>21</v>
      </c>
      <c r="N521" s="1" t="s">
        <v>21</v>
      </c>
      <c r="O521" s="1" t="s">
        <v>121</v>
      </c>
      <c r="P521">
        <v>0</v>
      </c>
      <c r="Q521" s="1" t="s">
        <v>21</v>
      </c>
      <c r="R521" s="1" t="s">
        <v>548</v>
      </c>
      <c r="S521" s="1">
        <f t="shared" ca="1" si="8"/>
        <v>2.8424547734688943E-2</v>
      </c>
    </row>
    <row r="522" spans="1:19" x14ac:dyDescent="0.25">
      <c r="A522" s="1" t="s">
        <v>1269</v>
      </c>
      <c r="B522" s="1" t="s">
        <v>604</v>
      </c>
      <c r="C522" s="1" t="s">
        <v>1287</v>
      </c>
      <c r="D522" s="1" t="s">
        <v>21</v>
      </c>
      <c r="E522" s="1" t="s">
        <v>1299</v>
      </c>
      <c r="F522" s="1" t="s">
        <v>1280</v>
      </c>
      <c r="G522" s="1" t="s">
        <v>1064</v>
      </c>
      <c r="H522" s="1" t="s">
        <v>548</v>
      </c>
      <c r="I522" s="1" t="s">
        <v>584</v>
      </c>
      <c r="J522" s="1" t="s">
        <v>548</v>
      </c>
      <c r="L522" s="1" t="s">
        <v>21</v>
      </c>
      <c r="N522" s="1" t="s">
        <v>21</v>
      </c>
      <c r="O522" s="1" t="s">
        <v>176</v>
      </c>
      <c r="P522">
        <v>0</v>
      </c>
      <c r="Q522" s="1" t="s">
        <v>21</v>
      </c>
      <c r="R522" s="1" t="s">
        <v>548</v>
      </c>
      <c r="S522" s="1">
        <f t="shared" ca="1" si="8"/>
        <v>0.15956631589564096</v>
      </c>
    </row>
    <row r="523" spans="1:19" x14ac:dyDescent="0.25">
      <c r="A523" s="1" t="s">
        <v>1269</v>
      </c>
      <c r="B523" s="1" t="s">
        <v>620</v>
      </c>
      <c r="C523" s="1" t="s">
        <v>1296</v>
      </c>
      <c r="D523" s="1" t="s">
        <v>21</v>
      </c>
      <c r="E523" s="1" t="s">
        <v>1297</v>
      </c>
      <c r="F523" s="1" t="s">
        <v>1280</v>
      </c>
      <c r="G523" s="1" t="s">
        <v>608</v>
      </c>
      <c r="H523" s="1" t="s">
        <v>548</v>
      </c>
      <c r="I523" s="1" t="s">
        <v>637</v>
      </c>
      <c r="J523" s="1" t="s">
        <v>548</v>
      </c>
      <c r="L523" s="1" t="s">
        <v>21</v>
      </c>
      <c r="N523" s="1" t="s">
        <v>21</v>
      </c>
      <c r="O523" s="1" t="s">
        <v>1298</v>
      </c>
      <c r="P523">
        <v>0</v>
      </c>
      <c r="Q523" s="1" t="s">
        <v>21</v>
      </c>
      <c r="R523" s="1" t="s">
        <v>548</v>
      </c>
      <c r="S523" s="1">
        <f t="shared" ca="1" si="8"/>
        <v>0.62991263111359375</v>
      </c>
    </row>
    <row r="524" spans="1:19" x14ac:dyDescent="0.25">
      <c r="A524" s="1" t="s">
        <v>1269</v>
      </c>
      <c r="B524" s="1" t="s">
        <v>620</v>
      </c>
      <c r="C524" s="1" t="s">
        <v>1275</v>
      </c>
      <c r="D524" s="1" t="s">
        <v>21</v>
      </c>
      <c r="E524" s="1" t="s">
        <v>1291</v>
      </c>
      <c r="F524" s="1" t="s">
        <v>1280</v>
      </c>
      <c r="G524" s="1" t="s">
        <v>637</v>
      </c>
      <c r="H524" s="1" t="s">
        <v>548</v>
      </c>
      <c r="I524" s="1" t="s">
        <v>652</v>
      </c>
      <c r="J524" s="1" t="s">
        <v>548</v>
      </c>
      <c r="L524" s="1" t="s">
        <v>21</v>
      </c>
      <c r="N524" s="1" t="s">
        <v>21</v>
      </c>
      <c r="O524" s="1" t="s">
        <v>1292</v>
      </c>
      <c r="P524">
        <v>0</v>
      </c>
      <c r="Q524" s="1" t="s">
        <v>21</v>
      </c>
      <c r="R524" s="1" t="s">
        <v>548</v>
      </c>
      <c r="S524" s="1">
        <f t="shared" ca="1" si="8"/>
        <v>0.18202688233862929</v>
      </c>
    </row>
    <row r="525" spans="1:19" x14ac:dyDescent="0.25">
      <c r="A525" s="1" t="s">
        <v>1269</v>
      </c>
      <c r="B525" s="1" t="s">
        <v>620</v>
      </c>
      <c r="C525" s="1" t="s">
        <v>1283</v>
      </c>
      <c r="D525" s="1" t="s">
        <v>21</v>
      </c>
      <c r="E525" s="1" t="s">
        <v>1276</v>
      </c>
      <c r="F525" s="1" t="s">
        <v>1280</v>
      </c>
      <c r="G525" s="1" t="s">
        <v>652</v>
      </c>
      <c r="H525" s="1" t="s">
        <v>548</v>
      </c>
      <c r="I525" s="1" t="s">
        <v>1064</v>
      </c>
      <c r="J525" s="1" t="s">
        <v>548</v>
      </c>
      <c r="L525" s="1" t="s">
        <v>21</v>
      </c>
      <c r="N525" s="1" t="s">
        <v>21</v>
      </c>
      <c r="O525" s="1" t="s">
        <v>121</v>
      </c>
      <c r="P525">
        <v>0</v>
      </c>
      <c r="Q525" s="1" t="s">
        <v>21</v>
      </c>
      <c r="R525" s="1" t="s">
        <v>548</v>
      </c>
      <c r="S525" s="1">
        <f t="shared" ca="1" si="8"/>
        <v>0.23286402095953207</v>
      </c>
    </row>
    <row r="526" spans="1:19" x14ac:dyDescent="0.25">
      <c r="A526" s="1" t="s">
        <v>1269</v>
      </c>
      <c r="B526" s="1" t="s">
        <v>620</v>
      </c>
      <c r="C526" s="1" t="s">
        <v>1287</v>
      </c>
      <c r="D526" s="1" t="s">
        <v>21</v>
      </c>
      <c r="E526" s="1" t="s">
        <v>1288</v>
      </c>
      <c r="F526" s="1" t="s">
        <v>1280</v>
      </c>
      <c r="G526" s="1" t="s">
        <v>1064</v>
      </c>
      <c r="H526" s="1" t="s">
        <v>548</v>
      </c>
      <c r="I526" s="1" t="s">
        <v>584</v>
      </c>
      <c r="J526" s="1" t="s">
        <v>548</v>
      </c>
      <c r="L526" s="1" t="s">
        <v>21</v>
      </c>
      <c r="N526" s="1" t="s">
        <v>21</v>
      </c>
      <c r="O526" s="1" t="s">
        <v>1289</v>
      </c>
      <c r="P526">
        <v>0</v>
      </c>
      <c r="Q526" s="1" t="s">
        <v>21</v>
      </c>
      <c r="R526" s="1" t="s">
        <v>548</v>
      </c>
      <c r="S526" s="1">
        <f t="shared" ca="1" si="8"/>
        <v>0.72789271012975387</v>
      </c>
    </row>
    <row r="527" spans="1:19" x14ac:dyDescent="0.25">
      <c r="A527" s="1" t="s">
        <v>1269</v>
      </c>
      <c r="B527" s="1" t="s">
        <v>626</v>
      </c>
      <c r="C527" s="1" t="s">
        <v>1270</v>
      </c>
      <c r="D527" s="1" t="s">
        <v>21</v>
      </c>
      <c r="E527" s="1" t="s">
        <v>633</v>
      </c>
      <c r="F527" s="1" t="s">
        <v>1280</v>
      </c>
      <c r="G527" s="1" t="s">
        <v>1257</v>
      </c>
      <c r="H527" s="1" t="s">
        <v>548</v>
      </c>
      <c r="I527" s="1" t="s">
        <v>1273</v>
      </c>
      <c r="J527" s="1" t="s">
        <v>548</v>
      </c>
      <c r="L527" s="1" t="s">
        <v>21</v>
      </c>
      <c r="N527" s="1" t="s">
        <v>21</v>
      </c>
      <c r="O527" s="1" t="s">
        <v>449</v>
      </c>
      <c r="P527">
        <v>0</v>
      </c>
      <c r="Q527" s="1" t="s">
        <v>21</v>
      </c>
      <c r="R527" s="1" t="s">
        <v>548</v>
      </c>
      <c r="S527" s="1">
        <f t="shared" ca="1" si="8"/>
        <v>0.32182239723228834</v>
      </c>
    </row>
    <row r="528" spans="1:19" x14ac:dyDescent="0.25">
      <c r="A528" s="1" t="s">
        <v>1269</v>
      </c>
      <c r="B528" s="1" t="s">
        <v>626</v>
      </c>
      <c r="C528" s="1" t="s">
        <v>1274</v>
      </c>
      <c r="D528" s="1" t="s">
        <v>21</v>
      </c>
      <c r="E528" s="1" t="s">
        <v>583</v>
      </c>
      <c r="F528" s="1" t="s">
        <v>1280</v>
      </c>
      <c r="G528" s="1" t="s">
        <v>1273</v>
      </c>
      <c r="H528" s="1" t="s">
        <v>548</v>
      </c>
      <c r="I528" s="1" t="s">
        <v>637</v>
      </c>
      <c r="J528" s="1" t="s">
        <v>548</v>
      </c>
      <c r="L528" s="1" t="s">
        <v>21</v>
      </c>
      <c r="N528" s="1" t="s">
        <v>21</v>
      </c>
      <c r="O528" s="1" t="s">
        <v>441</v>
      </c>
      <c r="P528">
        <v>0</v>
      </c>
      <c r="Q528" s="1" t="s">
        <v>21</v>
      </c>
      <c r="R528" s="1" t="s">
        <v>548</v>
      </c>
      <c r="S528" s="1">
        <f t="shared" ca="1" si="8"/>
        <v>0.13010072606729273</v>
      </c>
    </row>
    <row r="529" spans="1:19" x14ac:dyDescent="0.25">
      <c r="A529" s="1" t="s">
        <v>1269</v>
      </c>
      <c r="B529" s="1" t="s">
        <v>604</v>
      </c>
      <c r="C529" s="1" t="s">
        <v>1296</v>
      </c>
      <c r="D529" s="1" t="s">
        <v>21</v>
      </c>
      <c r="E529" s="1" t="s">
        <v>1297</v>
      </c>
      <c r="F529" s="1" t="s">
        <v>1300</v>
      </c>
      <c r="G529" s="1" t="s">
        <v>608</v>
      </c>
      <c r="H529" s="1" t="s">
        <v>548</v>
      </c>
      <c r="I529" s="1" t="s">
        <v>637</v>
      </c>
      <c r="J529" s="1" t="s">
        <v>548</v>
      </c>
      <c r="L529" s="1" t="s">
        <v>21</v>
      </c>
      <c r="N529" s="1" t="s">
        <v>21</v>
      </c>
      <c r="O529" s="1" t="s">
        <v>1298</v>
      </c>
      <c r="P529">
        <v>0</v>
      </c>
      <c r="Q529" s="1" t="s">
        <v>21</v>
      </c>
      <c r="R529" s="1" t="s">
        <v>548</v>
      </c>
      <c r="S529" s="1">
        <f t="shared" ca="1" si="8"/>
        <v>0.56028647864829828</v>
      </c>
    </row>
    <row r="530" spans="1:19" x14ac:dyDescent="0.25">
      <c r="A530" s="1" t="s">
        <v>1269</v>
      </c>
      <c r="B530" s="1" t="s">
        <v>604</v>
      </c>
      <c r="C530" s="1" t="s">
        <v>1275</v>
      </c>
      <c r="D530" s="1" t="s">
        <v>21</v>
      </c>
      <c r="E530" s="1" t="s">
        <v>1301</v>
      </c>
      <c r="F530" s="1" t="s">
        <v>1300</v>
      </c>
      <c r="G530" s="1" t="s">
        <v>637</v>
      </c>
      <c r="H530" s="1" t="s">
        <v>548</v>
      </c>
      <c r="I530" s="1" t="s">
        <v>652</v>
      </c>
      <c r="J530" s="1" t="s">
        <v>548</v>
      </c>
      <c r="L530" s="1" t="s">
        <v>21</v>
      </c>
      <c r="N530" s="1" t="s">
        <v>21</v>
      </c>
      <c r="O530" s="1" t="s">
        <v>1302</v>
      </c>
      <c r="P530">
        <v>0</v>
      </c>
      <c r="Q530" s="1" t="s">
        <v>21</v>
      </c>
      <c r="R530" s="1" t="s">
        <v>548</v>
      </c>
      <c r="S530" s="1">
        <f t="shared" ca="1" si="8"/>
        <v>0.90973133656431637</v>
      </c>
    </row>
    <row r="531" spans="1:19" x14ac:dyDescent="0.25">
      <c r="A531" s="1" t="s">
        <v>1269</v>
      </c>
      <c r="B531" s="1" t="s">
        <v>604</v>
      </c>
      <c r="C531" s="1" t="s">
        <v>1283</v>
      </c>
      <c r="D531" s="1" t="s">
        <v>21</v>
      </c>
      <c r="E531" s="1" t="s">
        <v>1303</v>
      </c>
      <c r="F531" s="1" t="s">
        <v>1300</v>
      </c>
      <c r="G531" s="1" t="s">
        <v>652</v>
      </c>
      <c r="H531" s="1" t="s">
        <v>548</v>
      </c>
      <c r="I531" s="1" t="s">
        <v>1064</v>
      </c>
      <c r="J531" s="1" t="s">
        <v>548</v>
      </c>
      <c r="L531" s="1" t="s">
        <v>21</v>
      </c>
      <c r="N531" s="1" t="s">
        <v>21</v>
      </c>
      <c r="O531" s="1" t="s">
        <v>700</v>
      </c>
      <c r="P531">
        <v>0</v>
      </c>
      <c r="Q531" s="1" t="s">
        <v>21</v>
      </c>
      <c r="R531" s="1" t="s">
        <v>548</v>
      </c>
      <c r="S531" s="1">
        <f t="shared" ca="1" si="8"/>
        <v>0.82196387716194796</v>
      </c>
    </row>
    <row r="532" spans="1:19" x14ac:dyDescent="0.25">
      <c r="A532" s="1" t="s">
        <v>1269</v>
      </c>
      <c r="B532" s="1" t="s">
        <v>604</v>
      </c>
      <c r="C532" s="1" t="s">
        <v>1287</v>
      </c>
      <c r="D532" s="1" t="s">
        <v>21</v>
      </c>
      <c r="E532" s="1" t="s">
        <v>1288</v>
      </c>
      <c r="F532" s="1" t="s">
        <v>1300</v>
      </c>
      <c r="G532" s="1" t="s">
        <v>1064</v>
      </c>
      <c r="H532" s="1" t="s">
        <v>548</v>
      </c>
      <c r="I532" s="1" t="s">
        <v>584</v>
      </c>
      <c r="J532" s="1" t="s">
        <v>548</v>
      </c>
      <c r="L532" s="1" t="s">
        <v>21</v>
      </c>
      <c r="N532" s="1" t="s">
        <v>21</v>
      </c>
      <c r="O532" s="1" t="s">
        <v>1289</v>
      </c>
      <c r="P532">
        <v>0</v>
      </c>
      <c r="Q532" s="1" t="s">
        <v>21</v>
      </c>
      <c r="R532" s="1" t="s">
        <v>548</v>
      </c>
      <c r="S532" s="1">
        <f t="shared" ca="1" si="8"/>
        <v>0.98604579645845092</v>
      </c>
    </row>
    <row r="533" spans="1:19" x14ac:dyDescent="0.25">
      <c r="A533" s="1" t="s">
        <v>1269</v>
      </c>
      <c r="B533" s="1" t="s">
        <v>620</v>
      </c>
      <c r="C533" s="1" t="s">
        <v>1296</v>
      </c>
      <c r="D533" s="1" t="s">
        <v>21</v>
      </c>
      <c r="E533" s="1" t="s">
        <v>1297</v>
      </c>
      <c r="F533" s="1" t="s">
        <v>1304</v>
      </c>
      <c r="G533" s="1" t="s">
        <v>608</v>
      </c>
      <c r="H533" s="1" t="s">
        <v>548</v>
      </c>
      <c r="I533" s="1" t="s">
        <v>637</v>
      </c>
      <c r="J533" s="1" t="s">
        <v>548</v>
      </c>
      <c r="L533" s="1" t="s">
        <v>21</v>
      </c>
      <c r="N533" s="1" t="s">
        <v>21</v>
      </c>
      <c r="O533" s="1" t="s">
        <v>1298</v>
      </c>
      <c r="P533">
        <v>0</v>
      </c>
      <c r="Q533" s="1" t="s">
        <v>21</v>
      </c>
      <c r="R533" s="1" t="s">
        <v>548</v>
      </c>
      <c r="S533" s="1">
        <f t="shared" ca="1" si="8"/>
        <v>0.49249550739477177</v>
      </c>
    </row>
    <row r="534" spans="1:19" x14ac:dyDescent="0.25">
      <c r="A534" s="1" t="s">
        <v>1269</v>
      </c>
      <c r="B534" s="1" t="s">
        <v>620</v>
      </c>
      <c r="C534" s="1" t="s">
        <v>1275</v>
      </c>
      <c r="D534" s="1" t="s">
        <v>21</v>
      </c>
      <c r="E534" s="1" t="s">
        <v>1301</v>
      </c>
      <c r="F534" s="1" t="s">
        <v>1304</v>
      </c>
      <c r="G534" s="1" t="s">
        <v>637</v>
      </c>
      <c r="H534" s="1" t="s">
        <v>548</v>
      </c>
      <c r="I534" s="1" t="s">
        <v>652</v>
      </c>
      <c r="J534" s="1" t="s">
        <v>548</v>
      </c>
      <c r="L534" s="1" t="s">
        <v>21</v>
      </c>
      <c r="N534" s="1" t="s">
        <v>21</v>
      </c>
      <c r="O534" s="1" t="s">
        <v>1302</v>
      </c>
      <c r="P534">
        <v>0</v>
      </c>
      <c r="Q534" s="1" t="s">
        <v>21</v>
      </c>
      <c r="R534" s="1" t="s">
        <v>548</v>
      </c>
      <c r="S534" s="1">
        <f t="shared" ca="1" si="8"/>
        <v>0.79663246454481185</v>
      </c>
    </row>
    <row r="535" spans="1:19" x14ac:dyDescent="0.25">
      <c r="A535" s="1" t="s">
        <v>1269</v>
      </c>
      <c r="B535" s="1" t="s">
        <v>620</v>
      </c>
      <c r="C535" s="1" t="s">
        <v>1283</v>
      </c>
      <c r="D535" s="1" t="s">
        <v>21</v>
      </c>
      <c r="E535" s="1" t="s">
        <v>1303</v>
      </c>
      <c r="F535" s="1" t="s">
        <v>1304</v>
      </c>
      <c r="G535" s="1" t="s">
        <v>652</v>
      </c>
      <c r="H535" s="1" t="s">
        <v>548</v>
      </c>
      <c r="I535" s="1" t="s">
        <v>1064</v>
      </c>
      <c r="J535" s="1" t="s">
        <v>548</v>
      </c>
      <c r="L535" s="1" t="s">
        <v>21</v>
      </c>
      <c r="N535" s="1" t="s">
        <v>21</v>
      </c>
      <c r="O535" s="1" t="s">
        <v>700</v>
      </c>
      <c r="P535">
        <v>0</v>
      </c>
      <c r="Q535" s="1" t="s">
        <v>21</v>
      </c>
      <c r="R535" s="1" t="s">
        <v>548</v>
      </c>
      <c r="S535" s="1">
        <f t="shared" ca="1" si="8"/>
        <v>0.31122166862699552</v>
      </c>
    </row>
    <row r="536" spans="1:19" x14ac:dyDescent="0.25">
      <c r="A536" s="1" t="s">
        <v>1269</v>
      </c>
      <c r="B536" s="1" t="s">
        <v>620</v>
      </c>
      <c r="C536" s="1" t="s">
        <v>1287</v>
      </c>
      <c r="D536" s="1" t="s">
        <v>21</v>
      </c>
      <c r="E536" s="1" t="s">
        <v>1288</v>
      </c>
      <c r="F536" s="1" t="s">
        <v>1304</v>
      </c>
      <c r="G536" s="1" t="s">
        <v>1064</v>
      </c>
      <c r="H536" s="1" t="s">
        <v>548</v>
      </c>
      <c r="I536" s="1" t="s">
        <v>584</v>
      </c>
      <c r="J536" s="1" t="s">
        <v>548</v>
      </c>
      <c r="L536" s="1" t="s">
        <v>21</v>
      </c>
      <c r="N536" s="1" t="s">
        <v>21</v>
      </c>
      <c r="O536" s="1" t="s">
        <v>1289</v>
      </c>
      <c r="P536">
        <v>0</v>
      </c>
      <c r="Q536" s="1" t="s">
        <v>21</v>
      </c>
      <c r="R536" s="1" t="s">
        <v>548</v>
      </c>
      <c r="S536" s="1">
        <f t="shared" ca="1" si="8"/>
        <v>0.42355999669276823</v>
      </c>
    </row>
    <row r="537" spans="1:19" x14ac:dyDescent="0.25">
      <c r="A537" s="1" t="s">
        <v>1305</v>
      </c>
      <c r="B537" s="1" t="s">
        <v>21</v>
      </c>
      <c r="C537" s="1" t="s">
        <v>1306</v>
      </c>
      <c r="D537" s="1" t="s">
        <v>21</v>
      </c>
      <c r="E537" s="1" t="s">
        <v>1307</v>
      </c>
      <c r="F537" s="1" t="s">
        <v>1308</v>
      </c>
      <c r="G537" s="1" t="s">
        <v>1309</v>
      </c>
      <c r="H537" s="1" t="s">
        <v>548</v>
      </c>
      <c r="I537" s="1" t="s">
        <v>1265</v>
      </c>
      <c r="J537" s="1" t="s">
        <v>548</v>
      </c>
      <c r="L537" s="1" t="s">
        <v>21</v>
      </c>
      <c r="N537" s="1" t="s">
        <v>21</v>
      </c>
      <c r="O537" s="1" t="s">
        <v>322</v>
      </c>
      <c r="P537">
        <v>0</v>
      </c>
      <c r="Q537" s="1" t="s">
        <v>21</v>
      </c>
      <c r="R537" s="1" t="s">
        <v>548</v>
      </c>
      <c r="S537" s="1">
        <f t="shared" ca="1" si="8"/>
        <v>0.52559001830243146</v>
      </c>
    </row>
    <row r="538" spans="1:19" x14ac:dyDescent="0.25">
      <c r="A538" s="1" t="s">
        <v>1305</v>
      </c>
      <c r="B538" s="1" t="s">
        <v>21</v>
      </c>
      <c r="C538" s="1" t="s">
        <v>1266</v>
      </c>
      <c r="D538" s="1" t="s">
        <v>21</v>
      </c>
      <c r="E538" s="1" t="s">
        <v>1310</v>
      </c>
      <c r="F538" s="1" t="s">
        <v>1308</v>
      </c>
      <c r="G538" s="1" t="s">
        <v>1265</v>
      </c>
      <c r="H538" s="1" t="s">
        <v>548</v>
      </c>
      <c r="I538" s="1" t="s">
        <v>637</v>
      </c>
      <c r="J538" s="1" t="s">
        <v>548</v>
      </c>
      <c r="L538" s="1" t="s">
        <v>21</v>
      </c>
      <c r="N538" s="1" t="s">
        <v>21</v>
      </c>
      <c r="O538" s="1" t="s">
        <v>302</v>
      </c>
      <c r="P538">
        <v>0</v>
      </c>
      <c r="Q538" s="1" t="s">
        <v>21</v>
      </c>
      <c r="R538" s="1" t="s">
        <v>548</v>
      </c>
      <c r="S538" s="1">
        <f t="shared" ca="1" si="8"/>
        <v>0.2625616362121127</v>
      </c>
    </row>
    <row r="539" spans="1:19" x14ac:dyDescent="0.25">
      <c r="A539" s="1" t="s">
        <v>1311</v>
      </c>
      <c r="B539" s="1" t="s">
        <v>21</v>
      </c>
      <c r="C539" s="1" t="s">
        <v>1275</v>
      </c>
      <c r="D539" s="1" t="s">
        <v>21</v>
      </c>
      <c r="E539" s="1" t="s">
        <v>1310</v>
      </c>
      <c r="F539" s="1" t="s">
        <v>1308</v>
      </c>
      <c r="G539" s="1" t="s">
        <v>637</v>
      </c>
      <c r="H539" s="1" t="s">
        <v>548</v>
      </c>
      <c r="I539" s="1" t="s">
        <v>652</v>
      </c>
      <c r="J539" s="1" t="s">
        <v>548</v>
      </c>
      <c r="L539" s="1" t="s">
        <v>21</v>
      </c>
      <c r="N539" s="1" t="s">
        <v>21</v>
      </c>
      <c r="O539" s="1" t="s">
        <v>302</v>
      </c>
      <c r="P539">
        <v>0</v>
      </c>
      <c r="Q539" s="1" t="s">
        <v>21</v>
      </c>
      <c r="R539" s="1" t="s">
        <v>548</v>
      </c>
      <c r="S539" s="1">
        <f t="shared" ca="1" si="8"/>
        <v>0.81931401389223313</v>
      </c>
    </row>
    <row r="540" spans="1:19" x14ac:dyDescent="0.25">
      <c r="A540" s="1" t="s">
        <v>1311</v>
      </c>
      <c r="B540" s="1" t="s">
        <v>21</v>
      </c>
      <c r="C540" s="1" t="s">
        <v>1312</v>
      </c>
      <c r="D540" s="1" t="s">
        <v>21</v>
      </c>
      <c r="E540" s="1" t="s">
        <v>1313</v>
      </c>
      <c r="F540" s="1" t="s">
        <v>1308</v>
      </c>
      <c r="G540" s="1" t="s">
        <v>652</v>
      </c>
      <c r="H540" s="1" t="s">
        <v>548</v>
      </c>
      <c r="I540" s="1" t="s">
        <v>1090</v>
      </c>
      <c r="J540" s="1" t="s">
        <v>548</v>
      </c>
      <c r="L540" s="1" t="s">
        <v>21</v>
      </c>
      <c r="N540" s="1" t="s">
        <v>21</v>
      </c>
      <c r="O540" s="1" t="s">
        <v>1314</v>
      </c>
      <c r="P540">
        <v>0</v>
      </c>
      <c r="Q540" s="1" t="s">
        <v>21</v>
      </c>
      <c r="R540" s="1" t="s">
        <v>548</v>
      </c>
      <c r="S540" s="1">
        <f t="shared" ca="1" si="8"/>
        <v>0.86378600160173347</v>
      </c>
    </row>
    <row r="541" spans="1:19" x14ac:dyDescent="0.25">
      <c r="A541" s="1" t="s">
        <v>1311</v>
      </c>
      <c r="B541" s="1" t="s">
        <v>21</v>
      </c>
      <c r="C541" s="1" t="s">
        <v>1315</v>
      </c>
      <c r="D541" s="1" t="s">
        <v>21</v>
      </c>
      <c r="E541" s="1" t="s">
        <v>1316</v>
      </c>
      <c r="F541" s="1" t="s">
        <v>1308</v>
      </c>
      <c r="G541" s="1" t="s">
        <v>1090</v>
      </c>
      <c r="H541" s="1" t="s">
        <v>548</v>
      </c>
      <c r="I541" s="1" t="s">
        <v>1317</v>
      </c>
      <c r="J541" s="1" t="s">
        <v>548</v>
      </c>
      <c r="L541" s="1" t="s">
        <v>21</v>
      </c>
      <c r="N541" s="1" t="s">
        <v>21</v>
      </c>
      <c r="O541" s="1" t="s">
        <v>1318</v>
      </c>
      <c r="P541">
        <v>0</v>
      </c>
      <c r="Q541" s="1" t="s">
        <v>21</v>
      </c>
      <c r="R541" s="1" t="s">
        <v>548</v>
      </c>
      <c r="S541" s="1">
        <f t="shared" ca="1" si="8"/>
        <v>0.2984271484219182</v>
      </c>
    </row>
    <row r="542" spans="1:19" x14ac:dyDescent="0.25">
      <c r="A542" s="1" t="s">
        <v>1319</v>
      </c>
      <c r="B542" s="1" t="s">
        <v>21</v>
      </c>
      <c r="C542" s="1" t="s">
        <v>1320</v>
      </c>
      <c r="D542" s="1" t="s">
        <v>21</v>
      </c>
      <c r="E542" s="1" t="s">
        <v>1321</v>
      </c>
      <c r="F542" s="1" t="s">
        <v>1322</v>
      </c>
      <c r="G542" s="1" t="s">
        <v>1257</v>
      </c>
      <c r="H542" s="1" t="s">
        <v>548</v>
      </c>
      <c r="I542" s="1" t="s">
        <v>1265</v>
      </c>
      <c r="J542" s="1" t="s">
        <v>548</v>
      </c>
      <c r="L542" s="1" t="s">
        <v>21</v>
      </c>
      <c r="N542" s="1" t="s">
        <v>21</v>
      </c>
      <c r="O542" s="1" t="s">
        <v>796</v>
      </c>
      <c r="P542">
        <v>0</v>
      </c>
      <c r="Q542" s="1" t="s">
        <v>21</v>
      </c>
      <c r="R542" s="1" t="s">
        <v>548</v>
      </c>
      <c r="S542" s="1">
        <f t="shared" ca="1" si="8"/>
        <v>0.97387548886462161</v>
      </c>
    </row>
    <row r="543" spans="1:19" x14ac:dyDescent="0.25">
      <c r="A543" s="1" t="s">
        <v>1319</v>
      </c>
      <c r="B543" s="1" t="s">
        <v>21</v>
      </c>
      <c r="C543" s="1" t="s">
        <v>1266</v>
      </c>
      <c r="D543" s="1" t="s">
        <v>21</v>
      </c>
      <c r="E543" s="1" t="s">
        <v>1323</v>
      </c>
      <c r="F543" s="1" t="s">
        <v>1322</v>
      </c>
      <c r="G543" s="1" t="s">
        <v>1265</v>
      </c>
      <c r="H543" s="1" t="s">
        <v>548</v>
      </c>
      <c r="I543" s="1" t="s">
        <v>637</v>
      </c>
      <c r="J543" s="1" t="s">
        <v>548</v>
      </c>
      <c r="L543" s="1" t="s">
        <v>21</v>
      </c>
      <c r="N543" s="1" t="s">
        <v>21</v>
      </c>
      <c r="O543" s="1" t="s">
        <v>1324</v>
      </c>
      <c r="P543">
        <v>0</v>
      </c>
      <c r="Q543" s="1" t="s">
        <v>21</v>
      </c>
      <c r="R543" s="1" t="s">
        <v>548</v>
      </c>
      <c r="S543" s="1">
        <f t="shared" ca="1" si="8"/>
        <v>0.7403999791933471</v>
      </c>
    </row>
    <row r="544" spans="1:19" x14ac:dyDescent="0.25">
      <c r="A544" s="1" t="s">
        <v>1319</v>
      </c>
      <c r="B544" s="1" t="s">
        <v>21</v>
      </c>
      <c r="C544" s="1" t="s">
        <v>1275</v>
      </c>
      <c r="D544" s="1" t="s">
        <v>21</v>
      </c>
      <c r="E544" s="1" t="s">
        <v>1325</v>
      </c>
      <c r="F544" s="1" t="s">
        <v>1322</v>
      </c>
      <c r="G544" s="1" t="s">
        <v>637</v>
      </c>
      <c r="H544" s="1" t="s">
        <v>548</v>
      </c>
      <c r="I544" s="1" t="s">
        <v>652</v>
      </c>
      <c r="J544" s="1" t="s">
        <v>548</v>
      </c>
      <c r="L544" s="1" t="s">
        <v>21</v>
      </c>
      <c r="N544" s="1" t="s">
        <v>21</v>
      </c>
      <c r="O544" s="1" t="s">
        <v>853</v>
      </c>
      <c r="P544">
        <v>0</v>
      </c>
      <c r="Q544" s="1" t="s">
        <v>21</v>
      </c>
      <c r="R544" s="1" t="s">
        <v>548</v>
      </c>
      <c r="S544" s="1">
        <f t="shared" ca="1" si="8"/>
        <v>0.6982840274468507</v>
      </c>
    </row>
    <row r="545" spans="1:19" x14ac:dyDescent="0.25">
      <c r="A545" s="1" t="s">
        <v>1319</v>
      </c>
      <c r="B545" s="1" t="s">
        <v>21</v>
      </c>
      <c r="C545" s="1" t="s">
        <v>1283</v>
      </c>
      <c r="D545" s="1" t="s">
        <v>21</v>
      </c>
      <c r="E545" s="1" t="s">
        <v>1326</v>
      </c>
      <c r="F545" s="1" t="s">
        <v>1322</v>
      </c>
      <c r="G545" s="1" t="s">
        <v>652</v>
      </c>
      <c r="H545" s="1" t="s">
        <v>548</v>
      </c>
      <c r="I545" s="1" t="s">
        <v>1064</v>
      </c>
      <c r="J545" s="1" t="s">
        <v>548</v>
      </c>
      <c r="L545" s="1" t="s">
        <v>21</v>
      </c>
      <c r="N545" s="1" t="s">
        <v>21</v>
      </c>
      <c r="O545" s="1" t="s">
        <v>1025</v>
      </c>
      <c r="P545">
        <v>0</v>
      </c>
      <c r="Q545" s="1" t="s">
        <v>21</v>
      </c>
      <c r="R545" s="1" t="s">
        <v>548</v>
      </c>
      <c r="S545" s="1">
        <f t="shared" ca="1" si="8"/>
        <v>0.50474788006756366</v>
      </c>
    </row>
    <row r="546" spans="1:19" x14ac:dyDescent="0.25">
      <c r="A546" s="1" t="s">
        <v>1319</v>
      </c>
      <c r="B546" s="1" t="s">
        <v>21</v>
      </c>
      <c r="C546" s="1" t="s">
        <v>1327</v>
      </c>
      <c r="D546" s="1" t="s">
        <v>21</v>
      </c>
      <c r="E546" s="1" t="s">
        <v>1288</v>
      </c>
      <c r="F546" s="1" t="s">
        <v>1322</v>
      </c>
      <c r="G546" s="1" t="s">
        <v>1090</v>
      </c>
      <c r="H546" s="1" t="s">
        <v>548</v>
      </c>
      <c r="I546" s="1" t="s">
        <v>603</v>
      </c>
      <c r="J546" s="1" t="s">
        <v>548</v>
      </c>
      <c r="L546" s="1" t="s">
        <v>21</v>
      </c>
      <c r="N546" s="1" t="s">
        <v>21</v>
      </c>
      <c r="O546" s="1" t="s">
        <v>1289</v>
      </c>
      <c r="P546">
        <v>0</v>
      </c>
      <c r="Q546" s="1" t="s">
        <v>21</v>
      </c>
      <c r="R546" s="1" t="s">
        <v>548</v>
      </c>
      <c r="S546" s="1">
        <f t="shared" ca="1" si="8"/>
        <v>0.55302702936101344</v>
      </c>
    </row>
    <row r="547" spans="1:19" x14ac:dyDescent="0.25">
      <c r="A547" s="1" t="s">
        <v>1328</v>
      </c>
      <c r="B547" s="1" t="s">
        <v>21</v>
      </c>
      <c r="C547" s="1" t="s">
        <v>1329</v>
      </c>
      <c r="D547" s="1" t="s">
        <v>21</v>
      </c>
      <c r="E547" s="1" t="s">
        <v>1303</v>
      </c>
      <c r="F547" s="1" t="s">
        <v>1330</v>
      </c>
      <c r="G547" s="1" t="s">
        <v>1331</v>
      </c>
      <c r="H547" s="1" t="s">
        <v>548</v>
      </c>
      <c r="I547" s="1" t="s">
        <v>1261</v>
      </c>
      <c r="J547" s="1" t="s">
        <v>548</v>
      </c>
      <c r="L547" s="1" t="s">
        <v>21</v>
      </c>
      <c r="N547" s="1" t="s">
        <v>21</v>
      </c>
      <c r="O547" s="1" t="s">
        <v>700</v>
      </c>
      <c r="P547">
        <v>0</v>
      </c>
      <c r="Q547" s="1" t="s">
        <v>21</v>
      </c>
      <c r="R547" s="1" t="s">
        <v>548</v>
      </c>
      <c r="S547" s="1">
        <f t="shared" ca="1" si="8"/>
        <v>0.31501172187640791</v>
      </c>
    </row>
    <row r="548" spans="1:19" x14ac:dyDescent="0.25">
      <c r="A548" s="1" t="s">
        <v>1328</v>
      </c>
      <c r="B548" s="1" t="s">
        <v>21</v>
      </c>
      <c r="C548" s="1" t="s">
        <v>1332</v>
      </c>
      <c r="D548" s="1" t="s">
        <v>21</v>
      </c>
      <c r="E548" s="1" t="s">
        <v>1291</v>
      </c>
      <c r="F548" s="1" t="s">
        <v>1330</v>
      </c>
      <c r="G548" s="1" t="s">
        <v>1261</v>
      </c>
      <c r="H548" s="1" t="s">
        <v>548</v>
      </c>
      <c r="I548" s="1" t="s">
        <v>1265</v>
      </c>
      <c r="J548" s="1" t="s">
        <v>548</v>
      </c>
      <c r="L548" s="1" t="s">
        <v>21</v>
      </c>
      <c r="N548" s="1" t="s">
        <v>21</v>
      </c>
      <c r="O548" s="1" t="s">
        <v>1292</v>
      </c>
      <c r="P548">
        <v>0</v>
      </c>
      <c r="Q548" s="1" t="s">
        <v>21</v>
      </c>
      <c r="R548" s="1" t="s">
        <v>548</v>
      </c>
      <c r="S548" s="1">
        <f t="shared" ca="1" si="8"/>
        <v>0.15726512857957298</v>
      </c>
    </row>
    <row r="549" spans="1:19" x14ac:dyDescent="0.25">
      <c r="A549" s="1" t="s">
        <v>1328</v>
      </c>
      <c r="B549" s="1" t="s">
        <v>21</v>
      </c>
      <c r="C549" s="1" t="s">
        <v>1333</v>
      </c>
      <c r="D549" s="1" t="s">
        <v>21</v>
      </c>
      <c r="E549" s="1" t="s">
        <v>1285</v>
      </c>
      <c r="F549" s="1" t="s">
        <v>1330</v>
      </c>
      <c r="G549" s="1" t="s">
        <v>1265</v>
      </c>
      <c r="H549" s="1" t="s">
        <v>548</v>
      </c>
      <c r="I549" s="1" t="s">
        <v>1334</v>
      </c>
      <c r="J549" s="1" t="s">
        <v>548</v>
      </c>
      <c r="L549" s="1" t="s">
        <v>21</v>
      </c>
      <c r="N549" s="1" t="s">
        <v>21</v>
      </c>
      <c r="O549" s="1" t="s">
        <v>1286</v>
      </c>
      <c r="P549">
        <v>0</v>
      </c>
      <c r="Q549" s="1" t="s">
        <v>21</v>
      </c>
      <c r="R549" s="1" t="s">
        <v>548</v>
      </c>
      <c r="S549" s="1">
        <f t="shared" ca="1" si="8"/>
        <v>0.35080391481501993</v>
      </c>
    </row>
    <row r="550" spans="1:19" x14ac:dyDescent="0.25">
      <c r="A550" s="1" t="s">
        <v>1328</v>
      </c>
      <c r="B550" s="1" t="s">
        <v>21</v>
      </c>
      <c r="C550" s="1" t="s">
        <v>1335</v>
      </c>
      <c r="D550" s="1" t="s">
        <v>21</v>
      </c>
      <c r="E550" s="1" t="s">
        <v>1313</v>
      </c>
      <c r="F550" s="1" t="s">
        <v>1330</v>
      </c>
      <c r="G550" s="1" t="s">
        <v>1334</v>
      </c>
      <c r="H550" s="1" t="s">
        <v>548</v>
      </c>
      <c r="I550" s="1" t="s">
        <v>1336</v>
      </c>
      <c r="J550" s="1" t="s">
        <v>548</v>
      </c>
      <c r="L550" s="1" t="s">
        <v>21</v>
      </c>
      <c r="N550" s="1" t="s">
        <v>21</v>
      </c>
      <c r="O550" s="1" t="s">
        <v>1314</v>
      </c>
      <c r="P550">
        <v>0</v>
      </c>
      <c r="Q550" s="1" t="s">
        <v>21</v>
      </c>
      <c r="R550" s="1" t="s">
        <v>548</v>
      </c>
      <c r="S550" s="1">
        <f t="shared" ca="1" si="8"/>
        <v>0.64473085971036015</v>
      </c>
    </row>
    <row r="551" spans="1:19" x14ac:dyDescent="0.25">
      <c r="A551" s="1" t="s">
        <v>1337</v>
      </c>
      <c r="B551" s="1" t="s">
        <v>1048</v>
      </c>
      <c r="C551" s="1" t="s">
        <v>1338</v>
      </c>
      <c r="D551" s="1" t="s">
        <v>21</v>
      </c>
      <c r="E551" s="1" t="s">
        <v>1339</v>
      </c>
      <c r="F551" s="1" t="s">
        <v>1340</v>
      </c>
      <c r="G551" s="1" t="s">
        <v>63</v>
      </c>
      <c r="H551" s="1" t="s">
        <v>1341</v>
      </c>
      <c r="I551" s="1" t="s">
        <v>1331</v>
      </c>
      <c r="J551" s="1" t="s">
        <v>1341</v>
      </c>
      <c r="L551" s="1" t="s">
        <v>21</v>
      </c>
      <c r="N551" s="1" t="s">
        <v>21</v>
      </c>
      <c r="O551" s="1" t="s">
        <v>1342</v>
      </c>
      <c r="P551">
        <v>0</v>
      </c>
      <c r="Q551" s="1" t="s">
        <v>21</v>
      </c>
      <c r="R551" s="1" t="s">
        <v>1341</v>
      </c>
      <c r="S551" s="1">
        <f t="shared" ca="1" si="8"/>
        <v>0.94156988131270425</v>
      </c>
    </row>
    <row r="552" spans="1:19" x14ac:dyDescent="0.25">
      <c r="A552" s="1" t="s">
        <v>1343</v>
      </c>
      <c r="B552" s="1" t="s">
        <v>1048</v>
      </c>
      <c r="C552" s="1" t="s">
        <v>1344</v>
      </c>
      <c r="D552" s="1" t="s">
        <v>21</v>
      </c>
      <c r="E552" s="1" t="s">
        <v>1345</v>
      </c>
      <c r="F552" s="1" t="s">
        <v>1340</v>
      </c>
      <c r="G552" s="1" t="s">
        <v>1346</v>
      </c>
      <c r="H552" s="1" t="s">
        <v>1347</v>
      </c>
      <c r="I552" s="1" t="s">
        <v>1018</v>
      </c>
      <c r="J552" s="1" t="s">
        <v>1347</v>
      </c>
      <c r="L552" s="1" t="s">
        <v>21</v>
      </c>
      <c r="N552" s="1" t="s">
        <v>21</v>
      </c>
      <c r="O552" s="1" t="s">
        <v>736</v>
      </c>
      <c r="P552">
        <v>0</v>
      </c>
      <c r="Q552" s="1" t="s">
        <v>21</v>
      </c>
      <c r="R552" s="1" t="s">
        <v>1347</v>
      </c>
      <c r="S552" s="1">
        <f t="shared" ca="1" si="8"/>
        <v>0.26237335844187415</v>
      </c>
    </row>
    <row r="553" spans="1:19" x14ac:dyDescent="0.25">
      <c r="A553" s="1" t="s">
        <v>3</v>
      </c>
      <c r="B553" s="1" t="s">
        <v>384</v>
      </c>
      <c r="C553" s="1" t="s">
        <v>666</v>
      </c>
      <c r="D553" s="1" t="s">
        <v>21</v>
      </c>
      <c r="E553" s="1" t="s">
        <v>957</v>
      </c>
      <c r="F553" s="1" t="s">
        <v>1348</v>
      </c>
      <c r="G553" s="1" t="s">
        <v>171</v>
      </c>
      <c r="H553" s="1" t="s">
        <v>668</v>
      </c>
      <c r="I553" s="1" t="s">
        <v>75</v>
      </c>
      <c r="J553" s="1" t="s">
        <v>668</v>
      </c>
      <c r="L553" s="1" t="s">
        <v>21</v>
      </c>
      <c r="N553" s="1" t="s">
        <v>21</v>
      </c>
      <c r="O553" s="1" t="s">
        <v>959</v>
      </c>
      <c r="P553">
        <v>0</v>
      </c>
      <c r="Q553" s="1" t="s">
        <v>21</v>
      </c>
      <c r="R553" s="1" t="s">
        <v>338</v>
      </c>
      <c r="S553" s="1">
        <f t="shared" ca="1" si="8"/>
        <v>0.46983087954310465</v>
      </c>
    </row>
    <row r="554" spans="1:19" x14ac:dyDescent="0.25">
      <c r="A554" s="1" t="s">
        <v>3</v>
      </c>
      <c r="B554" s="1" t="s">
        <v>384</v>
      </c>
      <c r="C554" s="1" t="s">
        <v>1349</v>
      </c>
      <c r="D554" s="1" t="s">
        <v>21</v>
      </c>
      <c r="E554" s="1" t="s">
        <v>1350</v>
      </c>
      <c r="F554" s="1" t="s">
        <v>1348</v>
      </c>
      <c r="G554" s="1" t="s">
        <v>75</v>
      </c>
      <c r="H554" s="1" t="s">
        <v>668</v>
      </c>
      <c r="I554" s="1" t="s">
        <v>63</v>
      </c>
      <c r="J554" s="1" t="s">
        <v>684</v>
      </c>
      <c r="L554" s="1" t="s">
        <v>21</v>
      </c>
      <c r="N554" s="1" t="s">
        <v>21</v>
      </c>
      <c r="O554" s="1" t="s">
        <v>829</v>
      </c>
      <c r="P554">
        <v>0</v>
      </c>
      <c r="Q554" s="1" t="s">
        <v>21</v>
      </c>
      <c r="R554" s="1" t="s">
        <v>338</v>
      </c>
      <c r="S554" s="1">
        <f t="shared" ca="1" si="8"/>
        <v>0.87332397183728427</v>
      </c>
    </row>
    <row r="555" spans="1:19" x14ac:dyDescent="0.25">
      <c r="A555" s="1" t="s">
        <v>3</v>
      </c>
      <c r="B555" s="1" t="s">
        <v>1048</v>
      </c>
      <c r="C555" s="1" t="s">
        <v>1351</v>
      </c>
      <c r="D555" s="1" t="s">
        <v>21</v>
      </c>
      <c r="E555" s="1" t="s">
        <v>1352</v>
      </c>
      <c r="F555" s="1" t="s">
        <v>501</v>
      </c>
      <c r="G555" s="1" t="s">
        <v>21</v>
      </c>
      <c r="H555" s="1" t="s">
        <v>21</v>
      </c>
      <c r="I555" s="1" t="s">
        <v>301</v>
      </c>
      <c r="J555" s="1" t="s">
        <v>668</v>
      </c>
      <c r="L555" s="1" t="s">
        <v>21</v>
      </c>
      <c r="N555" s="1" t="s">
        <v>21</v>
      </c>
      <c r="O555" s="1" t="s">
        <v>1353</v>
      </c>
      <c r="P555">
        <v>1.6000000000000001E-3</v>
      </c>
      <c r="Q555" s="1" t="s">
        <v>1354</v>
      </c>
      <c r="R555" s="1" t="s">
        <v>668</v>
      </c>
      <c r="S555" s="1">
        <f t="shared" ca="1" si="8"/>
        <v>0.22999981189673768</v>
      </c>
    </row>
    <row r="556" spans="1:19" x14ac:dyDescent="0.25">
      <c r="A556" s="1" t="s">
        <v>3</v>
      </c>
      <c r="B556" s="1" t="s">
        <v>1048</v>
      </c>
      <c r="C556" s="1" t="s">
        <v>1355</v>
      </c>
      <c r="D556" s="1" t="s">
        <v>21</v>
      </c>
      <c r="E556" s="1" t="s">
        <v>1356</v>
      </c>
      <c r="F556" s="1" t="s">
        <v>501</v>
      </c>
      <c r="G556" s="1" t="s">
        <v>765</v>
      </c>
      <c r="H556" s="1" t="s">
        <v>673</v>
      </c>
      <c r="I556" s="1" t="s">
        <v>700</v>
      </c>
      <c r="J556" s="1" t="s">
        <v>673</v>
      </c>
      <c r="L556" s="1" t="s">
        <v>21</v>
      </c>
      <c r="N556" s="1" t="s">
        <v>21</v>
      </c>
      <c r="O556" s="1" t="s">
        <v>1357</v>
      </c>
      <c r="P556">
        <v>7.7000000000000002E-3</v>
      </c>
      <c r="Q556" s="1" t="s">
        <v>1354</v>
      </c>
      <c r="R556" s="1" t="s">
        <v>668</v>
      </c>
      <c r="S556" s="1">
        <f t="shared" ca="1" si="8"/>
        <v>0.74834444725251148</v>
      </c>
    </row>
    <row r="557" spans="1:19" x14ac:dyDescent="0.25">
      <c r="A557" s="1" t="s">
        <v>3</v>
      </c>
      <c r="B557" s="1" t="s">
        <v>1048</v>
      </c>
      <c r="C557" s="1" t="s">
        <v>1358</v>
      </c>
      <c r="D557" s="1" t="s">
        <v>21</v>
      </c>
      <c r="E557" s="1" t="s">
        <v>1359</v>
      </c>
      <c r="F557" s="1" t="s">
        <v>501</v>
      </c>
      <c r="G557" s="1" t="s">
        <v>700</v>
      </c>
      <c r="H557" s="1" t="s">
        <v>673</v>
      </c>
      <c r="I557" s="1" t="s">
        <v>33</v>
      </c>
      <c r="J557" s="1" t="s">
        <v>673</v>
      </c>
      <c r="L557" s="1" t="s">
        <v>21</v>
      </c>
      <c r="N557" s="1" t="s">
        <v>21</v>
      </c>
      <c r="O557" s="1" t="s">
        <v>1357</v>
      </c>
      <c r="P557">
        <v>7.0999999999999994E-2</v>
      </c>
      <c r="Q557" s="1" t="s">
        <v>1354</v>
      </c>
      <c r="R557" s="1" t="s">
        <v>668</v>
      </c>
      <c r="S557" s="1">
        <f t="shared" ca="1" si="8"/>
        <v>2.4673339871743583E-2</v>
      </c>
    </row>
    <row r="558" spans="1:19" x14ac:dyDescent="0.25">
      <c r="A558" s="1" t="s">
        <v>3</v>
      </c>
      <c r="B558" s="1" t="s">
        <v>1048</v>
      </c>
      <c r="C558" s="1" t="s">
        <v>1360</v>
      </c>
      <c r="D558" s="1" t="s">
        <v>21</v>
      </c>
      <c r="E558" s="1" t="s">
        <v>1361</v>
      </c>
      <c r="F558" s="1" t="s">
        <v>501</v>
      </c>
      <c r="G558" s="1" t="s">
        <v>33</v>
      </c>
      <c r="H558" s="1" t="s">
        <v>673</v>
      </c>
      <c r="I558" s="1" t="s">
        <v>301</v>
      </c>
      <c r="J558" s="1" t="s">
        <v>673</v>
      </c>
      <c r="L558" s="1" t="s">
        <v>21</v>
      </c>
      <c r="N558" s="1" t="s">
        <v>21</v>
      </c>
      <c r="O558" s="1" t="s">
        <v>1362</v>
      </c>
      <c r="P558">
        <v>18</v>
      </c>
      <c r="Q558" s="1" t="s">
        <v>1354</v>
      </c>
      <c r="R558" s="1" t="s">
        <v>668</v>
      </c>
      <c r="S558" s="1">
        <f t="shared" ca="1" si="8"/>
        <v>0.13319865188522484</v>
      </c>
    </row>
    <row r="559" spans="1:19" x14ac:dyDescent="0.25">
      <c r="A559" s="1" t="s">
        <v>3</v>
      </c>
      <c r="B559" s="1" t="s">
        <v>1048</v>
      </c>
      <c r="C559" s="1" t="s">
        <v>1363</v>
      </c>
      <c r="D559" s="1" t="s">
        <v>21</v>
      </c>
      <c r="E559" s="1" t="s">
        <v>1364</v>
      </c>
      <c r="F559" s="1" t="s">
        <v>501</v>
      </c>
      <c r="G559" s="1" t="s">
        <v>765</v>
      </c>
      <c r="H559" s="1" t="s">
        <v>684</v>
      </c>
      <c r="I559" s="1" t="s">
        <v>700</v>
      </c>
      <c r="J559" s="1" t="s">
        <v>684</v>
      </c>
      <c r="L559" s="1" t="s">
        <v>21</v>
      </c>
      <c r="N559" s="1" t="s">
        <v>21</v>
      </c>
      <c r="O559" s="1" t="s">
        <v>1362</v>
      </c>
      <c r="P559">
        <v>20</v>
      </c>
      <c r="Q559" s="1" t="s">
        <v>1354</v>
      </c>
      <c r="R559" s="1" t="s">
        <v>668</v>
      </c>
      <c r="S559" s="1">
        <f t="shared" ca="1" si="8"/>
        <v>0.31533515492799424</v>
      </c>
    </row>
    <row r="560" spans="1:19" x14ac:dyDescent="0.25">
      <c r="A560" s="1" t="s">
        <v>3</v>
      </c>
      <c r="B560" s="1" t="s">
        <v>1048</v>
      </c>
      <c r="C560" s="1" t="s">
        <v>1365</v>
      </c>
      <c r="D560" s="1" t="s">
        <v>21</v>
      </c>
      <c r="E560" s="1" t="s">
        <v>1366</v>
      </c>
      <c r="F560" s="1" t="s">
        <v>501</v>
      </c>
      <c r="G560" s="1" t="s">
        <v>700</v>
      </c>
      <c r="H560" s="1" t="s">
        <v>684</v>
      </c>
      <c r="I560" s="1" t="s">
        <v>220</v>
      </c>
      <c r="J560" s="1" t="s">
        <v>684</v>
      </c>
      <c r="L560" s="1" t="s">
        <v>21</v>
      </c>
      <c r="N560" s="1" t="s">
        <v>21</v>
      </c>
      <c r="O560" s="1" t="s">
        <v>649</v>
      </c>
      <c r="P560">
        <v>0</v>
      </c>
      <c r="Q560" s="1" t="s">
        <v>21</v>
      </c>
      <c r="R560" s="1" t="s">
        <v>338</v>
      </c>
      <c r="S560" s="1">
        <f t="shared" ca="1" si="8"/>
        <v>0.74580076032617004</v>
      </c>
    </row>
    <row r="561" spans="1:19" x14ac:dyDescent="0.25">
      <c r="A561" s="1" t="s">
        <v>1367</v>
      </c>
      <c r="B561" s="1" t="s">
        <v>21</v>
      </c>
      <c r="C561" s="1" t="s">
        <v>1368</v>
      </c>
      <c r="D561" s="1" t="s">
        <v>21</v>
      </c>
      <c r="E561" s="1" t="s">
        <v>1369</v>
      </c>
      <c r="F561" s="1" t="s">
        <v>1370</v>
      </c>
      <c r="G561" s="1" t="s">
        <v>157</v>
      </c>
      <c r="H561" s="1" t="s">
        <v>1371</v>
      </c>
      <c r="I561" s="1" t="s">
        <v>63</v>
      </c>
      <c r="J561" s="1" t="s">
        <v>1372</v>
      </c>
      <c r="L561" s="1" t="s">
        <v>21</v>
      </c>
      <c r="N561" s="1" t="s">
        <v>21</v>
      </c>
      <c r="O561" s="1" t="s">
        <v>1373</v>
      </c>
      <c r="P561">
        <v>2.5000000000000001E-3</v>
      </c>
      <c r="Q561" s="1" t="s">
        <v>1371</v>
      </c>
      <c r="R561" s="1" t="s">
        <v>1374</v>
      </c>
      <c r="S561" s="1">
        <f t="shared" ca="1" si="8"/>
        <v>2.6883624448743593E-2</v>
      </c>
    </row>
    <row r="562" spans="1:19" x14ac:dyDescent="0.25">
      <c r="A562" s="1" t="s">
        <v>1367</v>
      </c>
      <c r="B562" s="1" t="s">
        <v>21</v>
      </c>
      <c r="C562" s="1" t="s">
        <v>1375</v>
      </c>
      <c r="D562" s="1" t="s">
        <v>21</v>
      </c>
      <c r="E562" s="1" t="s">
        <v>1376</v>
      </c>
      <c r="F562" s="1" t="s">
        <v>1370</v>
      </c>
      <c r="G562" s="1" t="s">
        <v>63</v>
      </c>
      <c r="H562" s="1" t="s">
        <v>1372</v>
      </c>
      <c r="I562" s="1" t="s">
        <v>1377</v>
      </c>
      <c r="J562" s="1" t="s">
        <v>1378</v>
      </c>
      <c r="L562" s="1" t="s">
        <v>21</v>
      </c>
      <c r="N562" s="1" t="s">
        <v>21</v>
      </c>
      <c r="O562" s="1" t="s">
        <v>1373</v>
      </c>
      <c r="P562">
        <v>4.1000000000000003E-3</v>
      </c>
      <c r="Q562" s="1" t="s">
        <v>1371</v>
      </c>
      <c r="R562" s="1" t="s">
        <v>1374</v>
      </c>
      <c r="S562" s="1">
        <f t="shared" ca="1" si="8"/>
        <v>0.11954419987330434</v>
      </c>
    </row>
    <row r="563" spans="1:19" x14ac:dyDescent="0.25">
      <c r="A563" s="1" t="s">
        <v>1367</v>
      </c>
      <c r="B563" s="1" t="s">
        <v>21</v>
      </c>
      <c r="C563" s="1" t="s">
        <v>1379</v>
      </c>
      <c r="D563" s="1" t="s">
        <v>21</v>
      </c>
      <c r="E563" s="1" t="s">
        <v>1380</v>
      </c>
      <c r="F563" s="1" t="s">
        <v>1381</v>
      </c>
      <c r="G563" s="1" t="s">
        <v>220</v>
      </c>
      <c r="H563" s="1" t="s">
        <v>1378</v>
      </c>
      <c r="I563" s="1" t="s">
        <v>1377</v>
      </c>
      <c r="J563" s="1" t="s">
        <v>1378</v>
      </c>
      <c r="L563" s="1" t="s">
        <v>21</v>
      </c>
      <c r="N563" s="1" t="s">
        <v>21</v>
      </c>
      <c r="O563" s="1" t="s">
        <v>1373</v>
      </c>
      <c r="P563">
        <v>0</v>
      </c>
      <c r="Q563" s="1" t="s">
        <v>21</v>
      </c>
      <c r="R563" s="1" t="s">
        <v>1371</v>
      </c>
      <c r="S563" s="1">
        <f t="shared" ca="1" si="8"/>
        <v>0.69475107438402084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568F8-D6B0-4A23-8EF8-10CEDC9E511A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CACC7-18A5-49CD-B775-4F69C88097E0}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30649C3-598E-419A-8CF0-191DC7B65B2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cmc_parsed</vt:lpstr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 Hall</dc:creator>
  <cp:lastModifiedBy>Jeff Hall</cp:lastModifiedBy>
  <dcterms:created xsi:type="dcterms:W3CDTF">2025-03-13T02:30:41Z</dcterms:created>
  <dcterms:modified xsi:type="dcterms:W3CDTF">2025-03-14T05:23:48Z</dcterms:modified>
</cp:coreProperties>
</file>